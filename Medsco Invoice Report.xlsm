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Priyanka_Nagar\OneDrive\Desktop\"/>
    </mc:Choice>
  </mc:AlternateContent>
  <bookViews>
    <workbookView xWindow="0" yWindow="0" windowWidth="20490" windowHeight="8940" tabRatio="994" activeTab="1"/>
    <workbookView xWindow="0" yWindow="0" windowWidth="20490" windowHeight="7650"/>
  </bookViews>
  <sheets>
    <sheet name="Documentation" sheetId="8" r:id="rId1"/>
    <sheet name="Supplier Invoice Statement" sheetId="2" r:id="rId2"/>
    <sheet name="MedsCo Invoice Report" sheetId="1" r:id="rId3"/>
    <sheet name="Reconciliation Analysis" sheetId="4" r:id="rId4"/>
    <sheet name="Holidays" sheetId="5" r:id="rId5"/>
    <sheet name="Sup. Invoice Statement Raw Data" sheetId="7" r:id="rId6"/>
    <sheet name="Invoice Report Raw Data" sheetId="6" r:id="rId7"/>
  </sheets>
  <definedNames>
    <definedName name="_xlnm._FilterDatabase" localSheetId="1" hidden="1">'Supplier Invoice Statement'!$A$5:$O$41</definedName>
    <definedName name="Amount">'MedsCo Invoice Report'!$K$5:$K$89</definedName>
    <definedName name="Bank_Details">'MedsCo Invoice Report'!$I$5:$I$89</definedName>
    <definedName name="Due_Date">'MedsCo Invoice Report'!$E$5:$E$89</definedName>
    <definedName name="flat_rate">2</definedName>
    <definedName name="Holidays">Table4[Date]</definedName>
    <definedName name="Invoice_Date">'MedsCo Invoice Report'!$D$5:$D$89</definedName>
    <definedName name="Invoice_Day">'MedsCo Invoice Report'!$M$5:$M$89</definedName>
    <definedName name="Invoice_Month">'MedsCo Invoice Report'!$L$5:$L$89</definedName>
    <definedName name="Late_Charge">'MedsCo Invoice Report'!$P$5:$P$89</definedName>
    <definedName name="Location">'MedsCo Invoice Report'!$J$5:$J$89</definedName>
    <definedName name="Over_Due">tbl_McReport[Over Due]</definedName>
    <definedName name="Over_Due_By">'MedsCo Invoice Report'!$O$5:$O$89</definedName>
    <definedName name="Payment_Date">'MedsCo Invoice Report'!$G$5:$G$89</definedName>
    <definedName name="Payment_No.">'MedsCo Invoice Report'!$C$5:$C$89</definedName>
    <definedName name="Payment_Ref">'MedsCo Invoice Report'!$A$5:$A$89</definedName>
    <definedName name="Penalty_Rate">'MedsCo Invoice Report'!$P$2</definedName>
    <definedName name="PO_Number">'MedsCo Invoice Report'!$H$5:$H$89</definedName>
    <definedName name="Region">'Reconciliation Analysis'!$A$8:$A$10</definedName>
    <definedName name="Slicer_Invoice_Month">#N/A</definedName>
    <definedName name="Slicer_Location">#N/A</definedName>
    <definedName name="Supplier_Code">'MedsCo Invoice Report'!$B$5:$B$89</definedName>
    <definedName name="System_Date">'MedsCo Invoice Report'!$B$2</definedName>
    <definedName name="WeekDay">'MedsCo Invoice Report'!$F$5:$F$89</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 i="1" l="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P37" i="2"/>
  <c r="Q37" i="2"/>
  <c r="B3" i="2" l="1"/>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E2" i="6"/>
  <c r="C2" i="6"/>
  <c r="E85" i="1" l="1"/>
  <c r="F85" i="1" s="1"/>
  <c r="L85" i="1"/>
  <c r="M85" i="1"/>
  <c r="D8" i="4"/>
  <c r="D9" i="4"/>
  <c r="D10" i="4"/>
  <c r="P3" i="2"/>
  <c r="B10" i="4"/>
  <c r="B9" i="4"/>
  <c r="B8" i="4"/>
  <c r="B4" i="4"/>
  <c r="N85" i="1" l="1"/>
  <c r="O85" i="1" s="1"/>
  <c r="C10" i="4" s="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F46" i="1" s="1"/>
  <c r="E47" i="1"/>
  <c r="F47" i="1" s="1"/>
  <c r="E48" i="1"/>
  <c r="E49" i="1"/>
  <c r="E50" i="1"/>
  <c r="E51" i="1"/>
  <c r="E52" i="1"/>
  <c r="E53" i="1"/>
  <c r="E54" i="1"/>
  <c r="E55" i="1"/>
  <c r="E56" i="1"/>
  <c r="E57" i="1"/>
  <c r="E58" i="1"/>
  <c r="E59" i="1"/>
  <c r="E60" i="1"/>
  <c r="E61" i="1"/>
  <c r="E62" i="1"/>
  <c r="E63" i="1"/>
  <c r="E64" i="1"/>
  <c r="E65" i="1"/>
  <c r="E66" i="1"/>
  <c r="E67" i="1"/>
  <c r="F67" i="1" s="1"/>
  <c r="E68" i="1"/>
  <c r="E69" i="1"/>
  <c r="E70" i="1"/>
  <c r="E71" i="1"/>
  <c r="E72" i="1"/>
  <c r="E73" i="1"/>
  <c r="E74" i="1"/>
  <c r="E75" i="1"/>
  <c r="E76" i="1"/>
  <c r="E77" i="1"/>
  <c r="E78" i="1"/>
  <c r="E79" i="1"/>
  <c r="E80" i="1"/>
  <c r="E81" i="1"/>
  <c r="E82" i="1"/>
  <c r="E83" i="1"/>
  <c r="E84" i="1"/>
  <c r="E86" i="1"/>
  <c r="E87" i="1"/>
  <c r="E88" i="1"/>
  <c r="E89" i="1"/>
  <c r="E5" i="1"/>
  <c r="B7" i="5"/>
  <c r="B5" i="5"/>
  <c r="B6" i="5"/>
  <c r="B4" i="5"/>
  <c r="F18" i="1"/>
  <c r="R6" i="2"/>
  <c r="R36" i="2"/>
  <c r="R37" i="2"/>
  <c r="R38" i="2"/>
  <c r="R7" i="2"/>
  <c r="R39" i="2"/>
  <c r="R64" i="2"/>
  <c r="R65" i="2"/>
  <c r="R66" i="2"/>
  <c r="R17" i="2"/>
  <c r="R26" i="2"/>
  <c r="R40" i="2"/>
  <c r="R8" i="2"/>
  <c r="R41" i="2"/>
  <c r="R42" i="2"/>
  <c r="R27" i="2"/>
  <c r="R67" i="2"/>
  <c r="R68" i="2"/>
  <c r="R69" i="2"/>
  <c r="R9" i="2"/>
  <c r="R32" i="2"/>
  <c r="R33" i="2"/>
  <c r="R18" i="2"/>
  <c r="R19" i="2"/>
  <c r="R20" i="2"/>
  <c r="R43" i="2"/>
  <c r="R44" i="2"/>
  <c r="R28" i="2"/>
  <c r="R70" i="2"/>
  <c r="R71" i="2"/>
  <c r="R72" i="2"/>
  <c r="R10" i="2"/>
  <c r="R73" i="2"/>
  <c r="R45" i="2"/>
  <c r="R11" i="2"/>
  <c r="R12" i="2"/>
  <c r="R74" i="2"/>
  <c r="R34" i="2"/>
  <c r="R46" i="2"/>
  <c r="R47" i="2"/>
  <c r="R48" i="2"/>
  <c r="R75" i="2"/>
  <c r="R49" i="2"/>
  <c r="R76" i="2"/>
  <c r="R50" i="2"/>
  <c r="R29" i="2"/>
  <c r="R77" i="2"/>
  <c r="R78" i="2"/>
  <c r="R51" i="2"/>
  <c r="R21" i="2"/>
  <c r="R79" i="2"/>
  <c r="R22" i="2"/>
  <c r="R52" i="2"/>
  <c r="R80" i="2"/>
  <c r="R53" i="2"/>
  <c r="R54" i="2"/>
  <c r="R13" i="2"/>
  <c r="R55" i="2"/>
  <c r="R35" i="2"/>
  <c r="R81" i="2"/>
  <c r="R14" i="2"/>
  <c r="R82" i="2"/>
  <c r="R56" i="2"/>
  <c r="R57" i="2"/>
  <c r="R58" i="2"/>
  <c r="R15" i="2"/>
  <c r="R30" i="2"/>
  <c r="R59" i="2"/>
  <c r="R83" i="2"/>
  <c r="R23" i="2"/>
  <c r="R84" i="2"/>
  <c r="R85" i="2"/>
  <c r="R86" i="2"/>
  <c r="R31" i="2"/>
  <c r="R16" i="2"/>
  <c r="R60" i="2"/>
  <c r="R24" i="2"/>
  <c r="R25" i="2"/>
  <c r="R87" i="2"/>
  <c r="R88" i="2"/>
  <c r="R61" i="2"/>
  <c r="R62" i="2"/>
  <c r="R89" i="2"/>
  <c r="R63" i="2"/>
  <c r="S6" i="2"/>
  <c r="T6" i="2" s="1"/>
  <c r="S36" i="2"/>
  <c r="T36" i="2" s="1"/>
  <c r="S37" i="2"/>
  <c r="S38" i="2"/>
  <c r="T38" i="2" s="1"/>
  <c r="S7" i="2"/>
  <c r="T7" i="2" s="1"/>
  <c r="S39" i="2"/>
  <c r="T39" i="2" s="1"/>
  <c r="S64" i="2"/>
  <c r="T64" i="2" s="1"/>
  <c r="S65" i="2"/>
  <c r="T65" i="2" s="1"/>
  <c r="S66" i="2"/>
  <c r="T66" i="2" s="1"/>
  <c r="S17" i="2"/>
  <c r="T17" i="2" s="1"/>
  <c r="S26" i="2"/>
  <c r="T26" i="2" s="1"/>
  <c r="S40" i="2"/>
  <c r="T40" i="2" s="1"/>
  <c r="S8" i="2"/>
  <c r="T8" i="2" s="1"/>
  <c r="S41" i="2"/>
  <c r="T41" i="2" s="1"/>
  <c r="S42" i="2"/>
  <c r="T42" i="2" s="1"/>
  <c r="S27" i="2"/>
  <c r="T27" i="2" s="1"/>
  <c r="S67" i="2"/>
  <c r="T67" i="2" s="1"/>
  <c r="S68" i="2"/>
  <c r="T68" i="2" s="1"/>
  <c r="S69" i="2"/>
  <c r="T69" i="2" s="1"/>
  <c r="S9" i="2"/>
  <c r="T9" i="2" s="1"/>
  <c r="S32" i="2"/>
  <c r="T32" i="2" s="1"/>
  <c r="S33" i="2"/>
  <c r="T33" i="2" s="1"/>
  <c r="S18" i="2"/>
  <c r="T18" i="2" s="1"/>
  <c r="S19" i="2"/>
  <c r="T19" i="2" s="1"/>
  <c r="S20" i="2"/>
  <c r="T20" i="2" s="1"/>
  <c r="S43" i="2"/>
  <c r="T43" i="2" s="1"/>
  <c r="S44" i="2"/>
  <c r="T44" i="2" s="1"/>
  <c r="S28" i="2"/>
  <c r="T28" i="2" s="1"/>
  <c r="S70" i="2"/>
  <c r="T70" i="2" s="1"/>
  <c r="S71" i="2"/>
  <c r="T71" i="2" s="1"/>
  <c r="S72" i="2"/>
  <c r="T72" i="2" s="1"/>
  <c r="S10" i="2"/>
  <c r="T10" i="2" s="1"/>
  <c r="S73" i="2"/>
  <c r="T73" i="2" s="1"/>
  <c r="S45" i="2"/>
  <c r="S11" i="2"/>
  <c r="T11" i="2" s="1"/>
  <c r="S12" i="2"/>
  <c r="T12" i="2" s="1"/>
  <c r="S74" i="2"/>
  <c r="T74" i="2" s="1"/>
  <c r="S34" i="2"/>
  <c r="T34" i="2" s="1"/>
  <c r="S46" i="2"/>
  <c r="T46" i="2" s="1"/>
  <c r="S47" i="2"/>
  <c r="T47" i="2" s="1"/>
  <c r="S48" i="2"/>
  <c r="T48" i="2" s="1"/>
  <c r="S75" i="2"/>
  <c r="T75" i="2" s="1"/>
  <c r="S49" i="2"/>
  <c r="T49" i="2" s="1"/>
  <c r="S76" i="2"/>
  <c r="T76" i="2" s="1"/>
  <c r="S50" i="2"/>
  <c r="T50" i="2" s="1"/>
  <c r="S29" i="2"/>
  <c r="T29" i="2" s="1"/>
  <c r="S77" i="2"/>
  <c r="T77" i="2" s="1"/>
  <c r="S78" i="2"/>
  <c r="T78" i="2" s="1"/>
  <c r="S51" i="2"/>
  <c r="T51" i="2" s="1"/>
  <c r="S21" i="2"/>
  <c r="T21" i="2" s="1"/>
  <c r="S79" i="2"/>
  <c r="T79" i="2" s="1"/>
  <c r="S22" i="2"/>
  <c r="T22" i="2" s="1"/>
  <c r="S52" i="2"/>
  <c r="T52" i="2" s="1"/>
  <c r="S80" i="2"/>
  <c r="T80" i="2" s="1"/>
  <c r="S53" i="2"/>
  <c r="T53" i="2" s="1"/>
  <c r="S54" i="2"/>
  <c r="T54" i="2" s="1"/>
  <c r="S13" i="2"/>
  <c r="T13" i="2" s="1"/>
  <c r="S55" i="2"/>
  <c r="T55" i="2" s="1"/>
  <c r="S35" i="2"/>
  <c r="T35" i="2" s="1"/>
  <c r="S81" i="2"/>
  <c r="T81" i="2" s="1"/>
  <c r="S14" i="2"/>
  <c r="T14" i="2" s="1"/>
  <c r="S82" i="2"/>
  <c r="T82" i="2" s="1"/>
  <c r="S56" i="2"/>
  <c r="T56" i="2" s="1"/>
  <c r="S57" i="2"/>
  <c r="T57" i="2" s="1"/>
  <c r="S58" i="2"/>
  <c r="T58" i="2" s="1"/>
  <c r="S15" i="2"/>
  <c r="T15" i="2" s="1"/>
  <c r="S30" i="2"/>
  <c r="T30" i="2" s="1"/>
  <c r="S59" i="2"/>
  <c r="T59" i="2" s="1"/>
  <c r="S83" i="2"/>
  <c r="T83" i="2" s="1"/>
  <c r="S23" i="2"/>
  <c r="T23" i="2" s="1"/>
  <c r="S84" i="2"/>
  <c r="T84" i="2" s="1"/>
  <c r="S85" i="2"/>
  <c r="T85" i="2" s="1"/>
  <c r="S86" i="2"/>
  <c r="T86" i="2" s="1"/>
  <c r="S31" i="2"/>
  <c r="T31" i="2" s="1"/>
  <c r="S16" i="2"/>
  <c r="T16" i="2" s="1"/>
  <c r="S60" i="2"/>
  <c r="T60" i="2" s="1"/>
  <c r="S24" i="2"/>
  <c r="T24" i="2" s="1"/>
  <c r="S25" i="2"/>
  <c r="T25" i="2" s="1"/>
  <c r="S87" i="2"/>
  <c r="T87" i="2" s="1"/>
  <c r="S88" i="2"/>
  <c r="T88" i="2" s="1"/>
  <c r="S61" i="2"/>
  <c r="T61" i="2" s="1"/>
  <c r="S62" i="2"/>
  <c r="T62" i="2" s="1"/>
  <c r="S89" i="2"/>
  <c r="T89" i="2" s="1"/>
  <c r="S63" i="2"/>
  <c r="T63" i="2" s="1"/>
  <c r="M5"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6" i="1"/>
  <c r="M87" i="1"/>
  <c r="M88" i="1"/>
  <c r="M89" i="1"/>
  <c r="M6" i="1"/>
  <c r="B2" i="1"/>
  <c r="L5"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6" i="1"/>
  <c r="L87" i="1"/>
  <c r="L88" i="1"/>
  <c r="L89" i="1"/>
  <c r="L6" i="1"/>
  <c r="M7" i="2"/>
  <c r="P6" i="2"/>
  <c r="Q6" i="2" s="1"/>
  <c r="P36" i="2"/>
  <c r="Q36" i="2" s="1"/>
  <c r="P38" i="2"/>
  <c r="Q38" i="2" s="1"/>
  <c r="P7" i="2"/>
  <c r="Q7" i="2" s="1"/>
  <c r="P39" i="2"/>
  <c r="Q39" i="2" s="1"/>
  <c r="P64" i="2"/>
  <c r="Q64" i="2" s="1"/>
  <c r="P65" i="2"/>
  <c r="Q65" i="2" s="1"/>
  <c r="P66" i="2"/>
  <c r="Q66" i="2" s="1"/>
  <c r="P17" i="2"/>
  <c r="Q17" i="2" s="1"/>
  <c r="P26" i="2"/>
  <c r="Q26" i="2" s="1"/>
  <c r="P40" i="2"/>
  <c r="Q40" i="2" s="1"/>
  <c r="P8" i="2"/>
  <c r="Q8" i="2" s="1"/>
  <c r="P41" i="2"/>
  <c r="Q41" i="2" s="1"/>
  <c r="P42" i="2"/>
  <c r="Q42" i="2" s="1"/>
  <c r="P27" i="2"/>
  <c r="Q27" i="2" s="1"/>
  <c r="P67" i="2"/>
  <c r="Q67" i="2" s="1"/>
  <c r="P68" i="2"/>
  <c r="Q68" i="2" s="1"/>
  <c r="P69" i="2"/>
  <c r="Q69" i="2" s="1"/>
  <c r="P9" i="2"/>
  <c r="Q9" i="2" s="1"/>
  <c r="P32" i="2"/>
  <c r="Q32" i="2" s="1"/>
  <c r="P33" i="2"/>
  <c r="Q33" i="2" s="1"/>
  <c r="P18" i="2"/>
  <c r="Q18" i="2" s="1"/>
  <c r="P19" i="2"/>
  <c r="Q19" i="2" s="1"/>
  <c r="P20" i="2"/>
  <c r="Q20" i="2" s="1"/>
  <c r="P43" i="2"/>
  <c r="Q43" i="2" s="1"/>
  <c r="P44" i="2"/>
  <c r="Q44" i="2" s="1"/>
  <c r="P28" i="2"/>
  <c r="Q28" i="2" s="1"/>
  <c r="P70" i="2"/>
  <c r="Q70" i="2" s="1"/>
  <c r="P71" i="2"/>
  <c r="Q71" i="2" s="1"/>
  <c r="P72" i="2"/>
  <c r="Q72" i="2" s="1"/>
  <c r="P10" i="2"/>
  <c r="Q10" i="2" s="1"/>
  <c r="P73" i="2"/>
  <c r="Q73" i="2" s="1"/>
  <c r="P45" i="2"/>
  <c r="Q45" i="2" s="1"/>
  <c r="P11" i="2"/>
  <c r="Q11" i="2" s="1"/>
  <c r="P12" i="2"/>
  <c r="Q12" i="2" s="1"/>
  <c r="P74" i="2"/>
  <c r="Q74" i="2" s="1"/>
  <c r="P34" i="2"/>
  <c r="Q34" i="2" s="1"/>
  <c r="P46" i="2"/>
  <c r="Q46" i="2" s="1"/>
  <c r="P47" i="2"/>
  <c r="Q47" i="2" s="1"/>
  <c r="P48" i="2"/>
  <c r="Q48" i="2" s="1"/>
  <c r="P75" i="2"/>
  <c r="Q75" i="2" s="1"/>
  <c r="P49" i="2"/>
  <c r="Q49" i="2" s="1"/>
  <c r="P76" i="2"/>
  <c r="Q76" i="2" s="1"/>
  <c r="P50" i="2"/>
  <c r="Q50" i="2" s="1"/>
  <c r="P29" i="2"/>
  <c r="Q29" i="2" s="1"/>
  <c r="P77" i="2"/>
  <c r="Q77" i="2" s="1"/>
  <c r="P78" i="2"/>
  <c r="Q78" i="2" s="1"/>
  <c r="P51" i="2"/>
  <c r="Q51" i="2" s="1"/>
  <c r="P21" i="2"/>
  <c r="Q21" i="2" s="1"/>
  <c r="P79" i="2"/>
  <c r="Q79" i="2" s="1"/>
  <c r="P22" i="2"/>
  <c r="Q22" i="2" s="1"/>
  <c r="P52" i="2"/>
  <c r="Q52" i="2" s="1"/>
  <c r="P80" i="2"/>
  <c r="Q80" i="2" s="1"/>
  <c r="P53" i="2"/>
  <c r="Q53" i="2" s="1"/>
  <c r="P54" i="2"/>
  <c r="Q54" i="2" s="1"/>
  <c r="P13" i="2"/>
  <c r="Q13" i="2" s="1"/>
  <c r="P55" i="2"/>
  <c r="Q55" i="2" s="1"/>
  <c r="P35" i="2"/>
  <c r="Q35" i="2" s="1"/>
  <c r="P81" i="2"/>
  <c r="Q81" i="2" s="1"/>
  <c r="P14" i="2"/>
  <c r="Q14" i="2" s="1"/>
  <c r="P82" i="2"/>
  <c r="Q82" i="2" s="1"/>
  <c r="P56" i="2"/>
  <c r="Q56" i="2" s="1"/>
  <c r="P57" i="2"/>
  <c r="Q57" i="2" s="1"/>
  <c r="P58" i="2"/>
  <c r="Q58" i="2" s="1"/>
  <c r="P15" i="2"/>
  <c r="Q15" i="2" s="1"/>
  <c r="P30" i="2"/>
  <c r="Q30" i="2" s="1"/>
  <c r="P59" i="2"/>
  <c r="Q59" i="2" s="1"/>
  <c r="P83" i="2"/>
  <c r="Q83" i="2" s="1"/>
  <c r="P23" i="2"/>
  <c r="Q23" i="2" s="1"/>
  <c r="P84" i="2"/>
  <c r="Q84" i="2" s="1"/>
  <c r="P85" i="2"/>
  <c r="Q85" i="2" s="1"/>
  <c r="P86" i="2"/>
  <c r="Q86" i="2" s="1"/>
  <c r="P31" i="2"/>
  <c r="Q31" i="2" s="1"/>
  <c r="P16" i="2"/>
  <c r="Q16" i="2" s="1"/>
  <c r="P60" i="2"/>
  <c r="Q60" i="2" s="1"/>
  <c r="P24" i="2"/>
  <c r="Q24" i="2" s="1"/>
  <c r="P25" i="2"/>
  <c r="Q25" i="2" s="1"/>
  <c r="P87" i="2"/>
  <c r="Q87" i="2" s="1"/>
  <c r="P88" i="2"/>
  <c r="Q88" i="2" s="1"/>
  <c r="P61" i="2"/>
  <c r="Q61" i="2" s="1"/>
  <c r="P62" i="2"/>
  <c r="Q62" i="2" s="1"/>
  <c r="P89" i="2"/>
  <c r="Q89" i="2" s="1"/>
  <c r="P63" i="2"/>
  <c r="Q63" i="2" s="1"/>
  <c r="O6" i="2"/>
  <c r="O36" i="2"/>
  <c r="O37" i="2"/>
  <c r="O38" i="2"/>
  <c r="O7" i="2"/>
  <c r="O39" i="2"/>
  <c r="O64" i="2"/>
  <c r="O65" i="2"/>
  <c r="O66" i="2"/>
  <c r="O17" i="2"/>
  <c r="O26" i="2"/>
  <c r="O40" i="2"/>
  <c r="O8" i="2"/>
  <c r="O41" i="2"/>
  <c r="O42" i="2"/>
  <c r="O27" i="2"/>
  <c r="O67" i="2"/>
  <c r="O68" i="2"/>
  <c r="O69" i="2"/>
  <c r="O9" i="2"/>
  <c r="O32" i="2"/>
  <c r="O33" i="2"/>
  <c r="O18" i="2"/>
  <c r="O19" i="2"/>
  <c r="O20" i="2"/>
  <c r="O43" i="2"/>
  <c r="O44" i="2"/>
  <c r="O28" i="2"/>
  <c r="O70" i="2"/>
  <c r="O71" i="2"/>
  <c r="O72" i="2"/>
  <c r="O10" i="2"/>
  <c r="O73" i="2"/>
  <c r="O45" i="2"/>
  <c r="O11" i="2"/>
  <c r="O12" i="2"/>
  <c r="O74" i="2"/>
  <c r="O34" i="2"/>
  <c r="O46" i="2"/>
  <c r="O47" i="2"/>
  <c r="O48" i="2"/>
  <c r="O75" i="2"/>
  <c r="O49" i="2"/>
  <c r="O76" i="2"/>
  <c r="O50" i="2"/>
  <c r="O29" i="2"/>
  <c r="O77" i="2"/>
  <c r="O78" i="2"/>
  <c r="O51" i="2"/>
  <c r="O21" i="2"/>
  <c r="O79" i="2"/>
  <c r="O22" i="2"/>
  <c r="O52" i="2"/>
  <c r="O80" i="2"/>
  <c r="O53" i="2"/>
  <c r="O54" i="2"/>
  <c r="O13" i="2"/>
  <c r="O55" i="2"/>
  <c r="O35" i="2"/>
  <c r="O81" i="2"/>
  <c r="O14" i="2"/>
  <c r="O82" i="2"/>
  <c r="O56" i="2"/>
  <c r="O57" i="2"/>
  <c r="O58" i="2"/>
  <c r="O15" i="2"/>
  <c r="O30" i="2"/>
  <c r="O59" i="2"/>
  <c r="O83" i="2"/>
  <c r="O23" i="2"/>
  <c r="O84" i="2"/>
  <c r="O85" i="2"/>
  <c r="O86" i="2"/>
  <c r="O31" i="2"/>
  <c r="O16" i="2"/>
  <c r="O60" i="2"/>
  <c r="O24" i="2"/>
  <c r="O25" i="2"/>
  <c r="O87" i="2"/>
  <c r="O88" i="2"/>
  <c r="O61" i="2"/>
  <c r="O62" i="2"/>
  <c r="O89" i="2"/>
  <c r="O63" i="2"/>
  <c r="N6" i="2"/>
  <c r="N36" i="2"/>
  <c r="N37" i="2"/>
  <c r="N38" i="2"/>
  <c r="N7" i="2"/>
  <c r="N39" i="2"/>
  <c r="N64" i="2"/>
  <c r="N65" i="2"/>
  <c r="N66" i="2"/>
  <c r="N17" i="2"/>
  <c r="N26" i="2"/>
  <c r="N40" i="2"/>
  <c r="N8" i="2"/>
  <c r="N41" i="2"/>
  <c r="N42" i="2"/>
  <c r="N27" i="2"/>
  <c r="N67" i="2"/>
  <c r="N68" i="2"/>
  <c r="N69" i="2"/>
  <c r="N9" i="2"/>
  <c r="N32" i="2"/>
  <c r="N33" i="2"/>
  <c r="N18" i="2"/>
  <c r="N19" i="2"/>
  <c r="N20" i="2"/>
  <c r="N43" i="2"/>
  <c r="N44" i="2"/>
  <c r="N28" i="2"/>
  <c r="N70" i="2"/>
  <c r="N71" i="2"/>
  <c r="N72" i="2"/>
  <c r="N10" i="2"/>
  <c r="N73" i="2"/>
  <c r="N45" i="2"/>
  <c r="N11" i="2"/>
  <c r="N12" i="2"/>
  <c r="N74" i="2"/>
  <c r="N34" i="2"/>
  <c r="N46" i="2"/>
  <c r="N47" i="2"/>
  <c r="N48" i="2"/>
  <c r="N75" i="2"/>
  <c r="N49" i="2"/>
  <c r="N76" i="2"/>
  <c r="N50" i="2"/>
  <c r="N29" i="2"/>
  <c r="N77" i="2"/>
  <c r="N78" i="2"/>
  <c r="N51" i="2"/>
  <c r="N21" i="2"/>
  <c r="N79" i="2"/>
  <c r="N22" i="2"/>
  <c r="N52" i="2"/>
  <c r="N80" i="2"/>
  <c r="N53" i="2"/>
  <c r="N54" i="2"/>
  <c r="N13" i="2"/>
  <c r="N55" i="2"/>
  <c r="N35" i="2"/>
  <c r="N81" i="2"/>
  <c r="N14" i="2"/>
  <c r="N82" i="2"/>
  <c r="N56" i="2"/>
  <c r="N57" i="2"/>
  <c r="N58" i="2"/>
  <c r="N15" i="2"/>
  <c r="N30" i="2"/>
  <c r="N59" i="2"/>
  <c r="N83" i="2"/>
  <c r="N23" i="2"/>
  <c r="N84" i="2"/>
  <c r="N85" i="2"/>
  <c r="N86" i="2"/>
  <c r="N31" i="2"/>
  <c r="N16" i="2"/>
  <c r="N60" i="2"/>
  <c r="N24" i="2"/>
  <c r="N25" i="2"/>
  <c r="N87" i="2"/>
  <c r="N88" i="2"/>
  <c r="N61" i="2"/>
  <c r="N62" i="2"/>
  <c r="N89" i="2"/>
  <c r="N63" i="2"/>
  <c r="M6" i="2"/>
  <c r="M36" i="2"/>
  <c r="M37" i="2"/>
  <c r="M38" i="2"/>
  <c r="M39" i="2"/>
  <c r="M64" i="2"/>
  <c r="M65" i="2"/>
  <c r="M66" i="2"/>
  <c r="M17" i="2"/>
  <c r="M26" i="2"/>
  <c r="M40" i="2"/>
  <c r="M8" i="2"/>
  <c r="M41" i="2"/>
  <c r="M42" i="2"/>
  <c r="M27" i="2"/>
  <c r="M67" i="2"/>
  <c r="M68" i="2"/>
  <c r="M69" i="2"/>
  <c r="M9" i="2"/>
  <c r="M32" i="2"/>
  <c r="M33" i="2"/>
  <c r="M18" i="2"/>
  <c r="M19" i="2"/>
  <c r="M20" i="2"/>
  <c r="M43" i="2"/>
  <c r="M44" i="2"/>
  <c r="M28" i="2"/>
  <c r="M70" i="2"/>
  <c r="M71" i="2"/>
  <c r="M72" i="2"/>
  <c r="M10" i="2"/>
  <c r="M73" i="2"/>
  <c r="M45" i="2"/>
  <c r="M11" i="2"/>
  <c r="M12" i="2"/>
  <c r="M74" i="2"/>
  <c r="M34" i="2"/>
  <c r="M46" i="2"/>
  <c r="M47" i="2"/>
  <c r="M48" i="2"/>
  <c r="M75" i="2"/>
  <c r="M49" i="2"/>
  <c r="M76" i="2"/>
  <c r="M50" i="2"/>
  <c r="M29" i="2"/>
  <c r="M77" i="2"/>
  <c r="M78" i="2"/>
  <c r="M51" i="2"/>
  <c r="M21" i="2"/>
  <c r="M79" i="2"/>
  <c r="M22" i="2"/>
  <c r="M52" i="2"/>
  <c r="M80" i="2"/>
  <c r="M53" i="2"/>
  <c r="M54" i="2"/>
  <c r="M13" i="2"/>
  <c r="M55" i="2"/>
  <c r="M35" i="2"/>
  <c r="M81" i="2"/>
  <c r="M14" i="2"/>
  <c r="M82" i="2"/>
  <c r="M56" i="2"/>
  <c r="M57" i="2"/>
  <c r="M58" i="2"/>
  <c r="M15" i="2"/>
  <c r="M30" i="2"/>
  <c r="M59" i="2"/>
  <c r="M83" i="2"/>
  <c r="M23" i="2"/>
  <c r="M84" i="2"/>
  <c r="M85" i="2"/>
  <c r="M86" i="2"/>
  <c r="M31" i="2"/>
  <c r="M16" i="2"/>
  <c r="M60" i="2"/>
  <c r="M24" i="2"/>
  <c r="M25" i="2"/>
  <c r="M87" i="2"/>
  <c r="M88" i="2"/>
  <c r="M61" i="2"/>
  <c r="M62" i="2"/>
  <c r="M89" i="2"/>
  <c r="M63" i="2"/>
  <c r="L6" i="2"/>
  <c r="L36" i="2"/>
  <c r="L37" i="2"/>
  <c r="L38" i="2"/>
  <c r="L7" i="2"/>
  <c r="L39" i="2"/>
  <c r="L64" i="2"/>
  <c r="L65" i="2"/>
  <c r="L66" i="2"/>
  <c r="L17" i="2"/>
  <c r="L26" i="2"/>
  <c r="L40" i="2"/>
  <c r="L8" i="2"/>
  <c r="L41" i="2"/>
  <c r="L42" i="2"/>
  <c r="L27" i="2"/>
  <c r="L67" i="2"/>
  <c r="L68" i="2"/>
  <c r="L69" i="2"/>
  <c r="L9" i="2"/>
  <c r="L32" i="2"/>
  <c r="L33" i="2"/>
  <c r="L18" i="2"/>
  <c r="L19" i="2"/>
  <c r="L20" i="2"/>
  <c r="L43" i="2"/>
  <c r="L44" i="2"/>
  <c r="L28" i="2"/>
  <c r="L70" i="2"/>
  <c r="L71" i="2"/>
  <c r="L72" i="2"/>
  <c r="L10" i="2"/>
  <c r="L73" i="2"/>
  <c r="L45" i="2"/>
  <c r="L11" i="2"/>
  <c r="L12" i="2"/>
  <c r="L74" i="2"/>
  <c r="L34" i="2"/>
  <c r="L46" i="2"/>
  <c r="L47" i="2"/>
  <c r="L48" i="2"/>
  <c r="L75" i="2"/>
  <c r="L49" i="2"/>
  <c r="L76" i="2"/>
  <c r="L50" i="2"/>
  <c r="L29" i="2"/>
  <c r="L77" i="2"/>
  <c r="L78" i="2"/>
  <c r="L51" i="2"/>
  <c r="L21" i="2"/>
  <c r="L79" i="2"/>
  <c r="L22" i="2"/>
  <c r="L52" i="2"/>
  <c r="L80" i="2"/>
  <c r="L53" i="2"/>
  <c r="L54" i="2"/>
  <c r="L13" i="2"/>
  <c r="L55" i="2"/>
  <c r="L35" i="2"/>
  <c r="L81" i="2"/>
  <c r="L14" i="2"/>
  <c r="L82" i="2"/>
  <c r="L56" i="2"/>
  <c r="L57" i="2"/>
  <c r="L58" i="2"/>
  <c r="L15" i="2"/>
  <c r="L30" i="2"/>
  <c r="L59" i="2"/>
  <c r="L83" i="2"/>
  <c r="L23" i="2"/>
  <c r="L84" i="2"/>
  <c r="L85" i="2"/>
  <c r="L86" i="2"/>
  <c r="L31" i="2"/>
  <c r="L16" i="2"/>
  <c r="L60" i="2"/>
  <c r="L24" i="2"/>
  <c r="L25" i="2"/>
  <c r="L87" i="2"/>
  <c r="L88" i="2"/>
  <c r="L61" i="2"/>
  <c r="L62" i="2"/>
  <c r="L89" i="2"/>
  <c r="L63" i="2"/>
  <c r="K6" i="2"/>
  <c r="K36" i="2"/>
  <c r="K37" i="2"/>
  <c r="K38" i="2"/>
  <c r="K7" i="2"/>
  <c r="K39" i="2"/>
  <c r="K64" i="2"/>
  <c r="K65" i="2"/>
  <c r="K66" i="2"/>
  <c r="K17" i="2"/>
  <c r="K26" i="2"/>
  <c r="K40" i="2"/>
  <c r="K8" i="2"/>
  <c r="K41" i="2"/>
  <c r="K42" i="2"/>
  <c r="K27" i="2"/>
  <c r="K67" i="2"/>
  <c r="K68" i="2"/>
  <c r="K69" i="2"/>
  <c r="K9" i="2"/>
  <c r="K32" i="2"/>
  <c r="K33" i="2"/>
  <c r="K18" i="2"/>
  <c r="K19" i="2"/>
  <c r="K20" i="2"/>
  <c r="K43" i="2"/>
  <c r="K44" i="2"/>
  <c r="K28" i="2"/>
  <c r="K70" i="2"/>
  <c r="K71" i="2"/>
  <c r="K72" i="2"/>
  <c r="K10" i="2"/>
  <c r="K73" i="2"/>
  <c r="K45" i="2"/>
  <c r="K11" i="2"/>
  <c r="K12" i="2"/>
  <c r="K74" i="2"/>
  <c r="K34" i="2"/>
  <c r="K46" i="2"/>
  <c r="K47" i="2"/>
  <c r="K48" i="2"/>
  <c r="K75" i="2"/>
  <c r="K49" i="2"/>
  <c r="K76" i="2"/>
  <c r="K50" i="2"/>
  <c r="K29" i="2"/>
  <c r="K77" i="2"/>
  <c r="K78" i="2"/>
  <c r="K51" i="2"/>
  <c r="K21" i="2"/>
  <c r="K79" i="2"/>
  <c r="K22" i="2"/>
  <c r="K52" i="2"/>
  <c r="K80" i="2"/>
  <c r="K53" i="2"/>
  <c r="K54" i="2"/>
  <c r="K13" i="2"/>
  <c r="K55" i="2"/>
  <c r="K35" i="2"/>
  <c r="K81" i="2"/>
  <c r="K14" i="2"/>
  <c r="K82" i="2"/>
  <c r="K56" i="2"/>
  <c r="K57" i="2"/>
  <c r="K58" i="2"/>
  <c r="K15" i="2"/>
  <c r="K30" i="2"/>
  <c r="K59" i="2"/>
  <c r="K83" i="2"/>
  <c r="K23" i="2"/>
  <c r="K84" i="2"/>
  <c r="K85" i="2"/>
  <c r="K86" i="2"/>
  <c r="K31" i="2"/>
  <c r="K16" i="2"/>
  <c r="K60" i="2"/>
  <c r="K24" i="2"/>
  <c r="K25" i="2"/>
  <c r="K87" i="2"/>
  <c r="K88" i="2"/>
  <c r="K61" i="2"/>
  <c r="K62" i="2"/>
  <c r="K89" i="2"/>
  <c r="K63" i="2"/>
  <c r="T45" i="2" l="1"/>
  <c r="N80" i="1"/>
  <c r="O80" i="1" s="1"/>
  <c r="N68" i="1"/>
  <c r="O68" i="1" s="1"/>
  <c r="N56" i="1"/>
  <c r="O56" i="1" s="1"/>
  <c r="N44" i="1"/>
  <c r="O44" i="1" s="1"/>
  <c r="N32" i="1"/>
  <c r="O32" i="1" s="1"/>
  <c r="N24" i="1"/>
  <c r="O24" i="1" s="1"/>
  <c r="N8" i="1"/>
  <c r="O8" i="1" s="1"/>
  <c r="N88" i="1"/>
  <c r="O88" i="1" s="1"/>
  <c r="N83" i="1"/>
  <c r="O83" i="1" s="1"/>
  <c r="N79" i="1"/>
  <c r="O79" i="1" s="1"/>
  <c r="N75" i="1"/>
  <c r="O75" i="1" s="1"/>
  <c r="N71" i="1"/>
  <c r="O71" i="1" s="1"/>
  <c r="N67" i="1"/>
  <c r="O67" i="1" s="1"/>
  <c r="N63" i="1"/>
  <c r="O63" i="1" s="1"/>
  <c r="N59" i="1"/>
  <c r="O59" i="1" s="1"/>
  <c r="N55" i="1"/>
  <c r="O55" i="1" s="1"/>
  <c r="N51" i="1"/>
  <c r="O51" i="1" s="1"/>
  <c r="N47" i="1"/>
  <c r="O47" i="1" s="1"/>
  <c r="N43" i="1"/>
  <c r="O43" i="1" s="1"/>
  <c r="N39" i="1"/>
  <c r="O39" i="1" s="1"/>
  <c r="N35" i="1"/>
  <c r="O35" i="1" s="1"/>
  <c r="N31" i="1"/>
  <c r="O31" i="1" s="1"/>
  <c r="N27" i="1"/>
  <c r="O27" i="1" s="1"/>
  <c r="N23" i="1"/>
  <c r="O23" i="1" s="1"/>
  <c r="N19" i="1"/>
  <c r="O19" i="1" s="1"/>
  <c r="N15" i="1"/>
  <c r="O15" i="1" s="1"/>
  <c r="N11" i="1"/>
  <c r="O11" i="1" s="1"/>
  <c r="N7" i="1"/>
  <c r="O7" i="1" s="1"/>
  <c r="N89" i="1"/>
  <c r="O89" i="1" s="1"/>
  <c r="N76" i="1"/>
  <c r="O76" i="1" s="1"/>
  <c r="N64" i="1"/>
  <c r="O64" i="1" s="1"/>
  <c r="N52" i="1"/>
  <c r="O52" i="1" s="1"/>
  <c r="N40" i="1"/>
  <c r="O40" i="1" s="1"/>
  <c r="N28" i="1"/>
  <c r="O28" i="1" s="1"/>
  <c r="N20" i="1"/>
  <c r="O20" i="1" s="1"/>
  <c r="N12" i="1"/>
  <c r="O12" i="1" s="1"/>
  <c r="N87" i="1"/>
  <c r="O87" i="1" s="1"/>
  <c r="N82" i="1"/>
  <c r="O82" i="1" s="1"/>
  <c r="F78" i="1"/>
  <c r="N78" i="1"/>
  <c r="O78" i="1" s="1"/>
  <c r="F74" i="1"/>
  <c r="N74" i="1"/>
  <c r="O74" i="1" s="1"/>
  <c r="N70" i="1"/>
  <c r="O70" i="1" s="1"/>
  <c r="F66" i="1"/>
  <c r="N66" i="1"/>
  <c r="O66" i="1" s="1"/>
  <c r="F62" i="1"/>
  <c r="N62" i="1"/>
  <c r="O62" i="1" s="1"/>
  <c r="N58" i="1"/>
  <c r="O58" i="1" s="1"/>
  <c r="N54" i="1"/>
  <c r="O54" i="1" s="1"/>
  <c r="F50" i="1"/>
  <c r="N50" i="1"/>
  <c r="O50" i="1" s="1"/>
  <c r="N46" i="1"/>
  <c r="O46" i="1" s="1"/>
  <c r="N42" i="1"/>
  <c r="O42" i="1" s="1"/>
  <c r="F38" i="1"/>
  <c r="N38" i="1"/>
  <c r="O38" i="1" s="1"/>
  <c r="F34" i="1"/>
  <c r="N34" i="1"/>
  <c r="O34" i="1" s="1"/>
  <c r="N30" i="1"/>
  <c r="O30" i="1" s="1"/>
  <c r="N26" i="1"/>
  <c r="O26" i="1" s="1"/>
  <c r="F22" i="1"/>
  <c r="N22" i="1"/>
  <c r="O22" i="1" s="1"/>
  <c r="N18" i="1"/>
  <c r="O18" i="1" s="1"/>
  <c r="N14" i="1"/>
  <c r="O14" i="1" s="1"/>
  <c r="F10" i="1"/>
  <c r="N10" i="1"/>
  <c r="O10" i="1" s="1"/>
  <c r="F6" i="1"/>
  <c r="N6" i="1"/>
  <c r="O6" i="1" s="1"/>
  <c r="N84" i="1"/>
  <c r="O84" i="1" s="1"/>
  <c r="N72" i="1"/>
  <c r="O72" i="1" s="1"/>
  <c r="N60" i="1"/>
  <c r="O60" i="1" s="1"/>
  <c r="N48" i="1"/>
  <c r="O48" i="1" s="1"/>
  <c r="N36" i="1"/>
  <c r="O36" i="1" s="1"/>
  <c r="N16" i="1"/>
  <c r="O16" i="1" s="1"/>
  <c r="N5" i="1"/>
  <c r="O5" i="1" s="1"/>
  <c r="N86" i="1"/>
  <c r="O86" i="1" s="1"/>
  <c r="N81" i="1"/>
  <c r="O81" i="1" s="1"/>
  <c r="N77" i="1"/>
  <c r="O77" i="1" s="1"/>
  <c r="N73" i="1"/>
  <c r="O73" i="1" s="1"/>
  <c r="N69" i="1"/>
  <c r="O69" i="1" s="1"/>
  <c r="N65" i="1"/>
  <c r="O65" i="1" s="1"/>
  <c r="N61" i="1"/>
  <c r="O61" i="1" s="1"/>
  <c r="N57" i="1"/>
  <c r="O57" i="1" s="1"/>
  <c r="N53" i="1"/>
  <c r="O53" i="1" s="1"/>
  <c r="N49" i="1"/>
  <c r="O49" i="1" s="1"/>
  <c r="N45" i="1"/>
  <c r="O45" i="1" s="1"/>
  <c r="N41" i="1"/>
  <c r="O41" i="1" s="1"/>
  <c r="N37" i="1"/>
  <c r="O37" i="1" s="1"/>
  <c r="N33" i="1"/>
  <c r="O33" i="1" s="1"/>
  <c r="N29" i="1"/>
  <c r="O29" i="1" s="1"/>
  <c r="N25" i="1"/>
  <c r="O25" i="1" s="1"/>
  <c r="N21" i="1"/>
  <c r="O21" i="1" s="1"/>
  <c r="N17" i="1"/>
  <c r="O17" i="1" s="1"/>
  <c r="N13" i="1"/>
  <c r="O13" i="1" s="1"/>
  <c r="N9" i="1"/>
  <c r="O9" i="1" s="1"/>
  <c r="F27" i="1"/>
  <c r="F23" i="1"/>
  <c r="M3" i="2"/>
  <c r="B3" i="4"/>
  <c r="B5" i="4" s="1"/>
  <c r="T37" i="2"/>
  <c r="F30" i="1"/>
  <c r="F36" i="1"/>
  <c r="F63" i="1"/>
  <c r="F59" i="1"/>
  <c r="F31" i="1"/>
  <c r="F51" i="1"/>
  <c r="F43" i="1"/>
  <c r="F15" i="1"/>
  <c r="F79" i="1"/>
  <c r="F25" i="1"/>
  <c r="F84" i="1"/>
  <c r="F48" i="1"/>
  <c r="F32" i="1"/>
  <c r="F20" i="1"/>
  <c r="F73" i="1"/>
  <c r="F81" i="1"/>
  <c r="F68" i="1"/>
  <c r="F57" i="1"/>
  <c r="F16" i="1"/>
  <c r="F80" i="1"/>
  <c r="F64" i="1"/>
  <c r="F52" i="1"/>
  <c r="F41" i="1"/>
  <c r="F69" i="1"/>
  <c r="F53" i="1"/>
  <c r="F37" i="1"/>
  <c r="F21" i="1"/>
  <c r="F13" i="1"/>
  <c r="F61" i="1"/>
  <c r="F45" i="1"/>
  <c r="F29" i="1"/>
  <c r="F9" i="1"/>
  <c r="F77" i="1"/>
  <c r="F65" i="1"/>
  <c r="F49" i="1"/>
  <c r="F33" i="1"/>
  <c r="F5" i="1"/>
  <c r="F58" i="1"/>
  <c r="F87" i="1"/>
  <c r="F11" i="1"/>
  <c r="F70" i="1"/>
  <c r="F82" i="1"/>
  <c r="F54" i="1"/>
  <c r="F42" i="1"/>
  <c r="F26" i="1"/>
  <c r="F14" i="1"/>
  <c r="F17" i="1"/>
  <c r="F7" i="1"/>
  <c r="F76" i="1"/>
  <c r="F56" i="1"/>
  <c r="F83" i="1"/>
  <c r="F75" i="1"/>
  <c r="F12" i="1"/>
  <c r="F39" i="1"/>
  <c r="F88" i="1"/>
  <c r="F71" i="1"/>
  <c r="F55" i="1"/>
  <c r="F19" i="1"/>
  <c r="F35" i="1"/>
  <c r="F60" i="1"/>
  <c r="F40" i="1"/>
  <c r="F89" i="1"/>
  <c r="F44" i="1"/>
  <c r="F24" i="1"/>
  <c r="F86" i="1"/>
  <c r="F72" i="1"/>
  <c r="F28" i="1"/>
  <c r="F8" i="1"/>
  <c r="C9" i="4" l="1"/>
  <c r="C8" i="4"/>
</calcChain>
</file>

<file path=xl/comments1.xml><?xml version="1.0" encoding="utf-8"?>
<comments xmlns="http://schemas.openxmlformats.org/spreadsheetml/2006/main">
  <authors>
    <author>priyanka nagar</author>
  </authors>
  <commentList>
    <comment ref="Q4" authorId="0" shapeId="0">
      <text>
        <r>
          <rPr>
            <b/>
            <sz val="9"/>
            <color indexed="81"/>
            <rFont val="Tahoma"/>
            <charset val="1"/>
          </rPr>
          <t>priyanka nagar:</t>
        </r>
        <r>
          <rPr>
            <sz val="9"/>
            <color indexed="81"/>
            <rFont val="Tahoma"/>
            <charset val="1"/>
          </rPr>
          <t xml:space="preserve">
</t>
        </r>
      </text>
    </comment>
  </commentList>
</comments>
</file>

<file path=xl/sharedStrings.xml><?xml version="1.0" encoding="utf-8"?>
<sst xmlns="http://schemas.openxmlformats.org/spreadsheetml/2006/main" count="1604" uniqueCount="382">
  <si>
    <t>Invoice Date</t>
  </si>
  <si>
    <t>Due Date</t>
  </si>
  <si>
    <t>Payment Date</t>
  </si>
  <si>
    <t>Document No</t>
  </si>
  <si>
    <t>Customer PO</t>
  </si>
  <si>
    <t>Payment No.</t>
  </si>
  <si>
    <t>Acct</t>
  </si>
  <si>
    <t>Location</t>
  </si>
  <si>
    <t>Bank Details</t>
  </si>
  <si>
    <t>Check</t>
  </si>
  <si>
    <t>Type</t>
  </si>
  <si>
    <t>ABN</t>
  </si>
  <si>
    <t>INV_x000C_</t>
  </si>
  <si>
    <t>inv_x000C_</t>
  </si>
  <si>
    <t>cr _x000C_</t>
  </si>
  <si>
    <t>cr_x000C_</t>
  </si>
  <si>
    <t>inv  _x000C_</t>
  </si>
  <si>
    <t xml:space="preserve">  inv_x000C_</t>
  </si>
  <si>
    <t>Inv_x000C_</t>
  </si>
  <si>
    <t>Inv Month</t>
  </si>
  <si>
    <t>$ Amount</t>
  </si>
  <si>
    <t>PO Number</t>
  </si>
  <si>
    <t>Apr 20</t>
  </si>
  <si>
    <t>Mar 08</t>
  </si>
  <si>
    <t>Apr 13</t>
  </si>
  <si>
    <t>Mar 03</t>
  </si>
  <si>
    <t>Apr 15</t>
  </si>
  <si>
    <t>Mar 11</t>
  </si>
  <si>
    <t>Apr 05</t>
  </si>
  <si>
    <t>Mar 07</t>
  </si>
  <si>
    <t>Apr 10</t>
  </si>
  <si>
    <t>Mar 16</t>
  </si>
  <si>
    <t>Apr 04</t>
  </si>
  <si>
    <t>Apr 06</t>
  </si>
  <si>
    <t>Apr 07</t>
  </si>
  <si>
    <t>Apr 01</t>
  </si>
  <si>
    <t>Mar 19</t>
  </si>
  <si>
    <t>Apr 19</t>
  </si>
  <si>
    <t>Mar 15</t>
  </si>
  <si>
    <t>Mar 22</t>
  </si>
  <si>
    <t>Apr 03</t>
  </si>
  <si>
    <t>Mar 10</t>
  </si>
  <si>
    <t>Apr 24</t>
  </si>
  <si>
    <t>S 126.72</t>
  </si>
  <si>
    <t>Apr 18</t>
  </si>
  <si>
    <t>Apr 12</t>
  </si>
  <si>
    <t>Apr 02</t>
  </si>
  <si>
    <t>Mar 29</t>
  </si>
  <si>
    <t>Apr 16</t>
  </si>
  <si>
    <t>Apr 09</t>
  </si>
  <si>
    <t>Apr 21</t>
  </si>
  <si>
    <t>Apr 11</t>
  </si>
  <si>
    <t>Mar 06</t>
  </si>
  <si>
    <t>Apr 08</t>
  </si>
  <si>
    <t>Apr 28</t>
  </si>
  <si>
    <t>Mar 31</t>
  </si>
  <si>
    <t>Apr 22</t>
  </si>
  <si>
    <t>Mar 14</t>
  </si>
  <si>
    <t>Feb 20</t>
  </si>
  <si>
    <t>S 466.29</t>
  </si>
  <si>
    <t>Mar 17</t>
  </si>
  <si>
    <t>Mar 24</t>
  </si>
  <si>
    <t>Mar 02</t>
  </si>
  <si>
    <t>Mar 28</t>
  </si>
  <si>
    <t>Apr 23</t>
  </si>
  <si>
    <t>Feb 25</t>
  </si>
  <si>
    <t>Apr 17</t>
  </si>
  <si>
    <t>Mar 25</t>
  </si>
  <si>
    <t>Apr 14</t>
  </si>
  <si>
    <t>Mar 27</t>
  </si>
  <si>
    <t>S 603.57</t>
  </si>
  <si>
    <t>Mar 23</t>
  </si>
  <si>
    <t>Mar 26</t>
  </si>
  <si>
    <t>S 742.50</t>
  </si>
  <si>
    <t>PO-Sydney-223809</t>
  </si>
  <si>
    <t>S 1021.02</t>
  </si>
  <si>
    <t>PO-Melbourne-327600</t>
  </si>
  <si>
    <t>S 409.53</t>
  </si>
  <si>
    <t>PO-Melbourne-332589</t>
  </si>
  <si>
    <t>S 234.96</t>
  </si>
  <si>
    <t>PO-Melbourne-337131</t>
  </si>
  <si>
    <t>S 450.12</t>
  </si>
  <si>
    <t>PO-Melbourne-319376</t>
  </si>
  <si>
    <t>Apr 30</t>
  </si>
  <si>
    <t>S 114.18</t>
  </si>
  <si>
    <t>PO-Melbourne-334724</t>
  </si>
  <si>
    <t>S 930.93</t>
  </si>
  <si>
    <t>PO-Melbourne-310607</t>
  </si>
  <si>
    <t>PO-Sydney-226225</t>
  </si>
  <si>
    <t>Apr 27</t>
  </si>
  <si>
    <t>S 222.42</t>
  </si>
  <si>
    <t>PO-Sydney-223858</t>
  </si>
  <si>
    <t>Mar 09</t>
  </si>
  <si>
    <t>S 679.80</t>
  </si>
  <si>
    <t>PO-Sydney-211781</t>
  </si>
  <si>
    <t>S 171.93</t>
  </si>
  <si>
    <t>PO-Sydney-232805</t>
  </si>
  <si>
    <t>Feb 24</t>
  </si>
  <si>
    <t>S 623.70</t>
  </si>
  <si>
    <t>PO-Melbourne-312187</t>
  </si>
  <si>
    <t>S 221.10</t>
  </si>
  <si>
    <t>PO-Melbourne-319790</t>
  </si>
  <si>
    <t>S 393.36</t>
  </si>
  <si>
    <t>PO-Melbourne-327342</t>
  </si>
  <si>
    <t>S 642.18</t>
  </si>
  <si>
    <t>PO-Melbourne-335460</t>
  </si>
  <si>
    <t>S 499.95</t>
  </si>
  <si>
    <t>PO-Melbourne-323955</t>
  </si>
  <si>
    <t>Feb 29</t>
  </si>
  <si>
    <t>S 299.64</t>
  </si>
  <si>
    <t>PO-Melbourne-316515</t>
  </si>
  <si>
    <t>S 312.84</t>
  </si>
  <si>
    <t>PO-Sydney-231320</t>
  </si>
  <si>
    <t>S 993.63</t>
  </si>
  <si>
    <t>PO-Sydney-213670</t>
  </si>
  <si>
    <t>S 1053.69</t>
  </si>
  <si>
    <t>PO-Sydney-226166</t>
  </si>
  <si>
    <t>S 1047.75</t>
  </si>
  <si>
    <t>PO-Melbourne-316479</t>
  </si>
  <si>
    <t>Feb 27</t>
  </si>
  <si>
    <t>S 1096.92</t>
  </si>
  <si>
    <t>PO-Sydney-230046</t>
  </si>
  <si>
    <t>S 257.07</t>
  </si>
  <si>
    <t>PO-Sydney-224680</t>
  </si>
  <si>
    <t>S 215.49</t>
  </si>
  <si>
    <t>PO-Sydney-238023</t>
  </si>
  <si>
    <t>S 455.07</t>
  </si>
  <si>
    <t>PO-Sydney-224184</t>
  </si>
  <si>
    <t>S 711.81</t>
  </si>
  <si>
    <t>PO-Sydney-216205</t>
  </si>
  <si>
    <t>Mar 21</t>
  </si>
  <si>
    <t>S 78.54</t>
  </si>
  <si>
    <t>PO-Melbourne-331383</t>
  </si>
  <si>
    <t>S 302.61</t>
  </si>
  <si>
    <t>PO-Melbourne-335282</t>
  </si>
  <si>
    <t>S 426.03</t>
  </si>
  <si>
    <t>PO-Melbourne-330858</t>
  </si>
  <si>
    <t>S 489.72</t>
  </si>
  <si>
    <t>PO-Sydney-238202</t>
  </si>
  <si>
    <t>S 352.44</t>
  </si>
  <si>
    <t>PO-Sydney-217217</t>
  </si>
  <si>
    <t>S 238.59</t>
  </si>
  <si>
    <t>PO-Sydney-234637</t>
  </si>
  <si>
    <t>S 549.12</t>
  </si>
  <si>
    <t>PO-Melbourne-332725</t>
  </si>
  <si>
    <t>S 322.41</t>
  </si>
  <si>
    <t>PO-Sydney-227351</t>
  </si>
  <si>
    <t>S 644.82</t>
  </si>
  <si>
    <t>PO-Melbourne-336345</t>
  </si>
  <si>
    <t>S 113.19</t>
  </si>
  <si>
    <t>PO-Melbourne-338595</t>
  </si>
  <si>
    <t>S 449.13</t>
  </si>
  <si>
    <t>PO-Melbourne-325149</t>
  </si>
  <si>
    <t>S 819.06</t>
  </si>
  <si>
    <t>PO-Sydney-227994</t>
  </si>
  <si>
    <t>Feb 19</t>
  </si>
  <si>
    <t>S 1019.04</t>
  </si>
  <si>
    <t>PO-Sydney-222399</t>
  </si>
  <si>
    <t>S 736.23</t>
  </si>
  <si>
    <t>PO-Melbourne-316436</t>
  </si>
  <si>
    <t>Mar 05</t>
  </si>
  <si>
    <t>S 600.27</t>
  </si>
  <si>
    <t>PO-Melbourne-312603</t>
  </si>
  <si>
    <t>S 480.81</t>
  </si>
  <si>
    <t>PO-Melbourne-339907</t>
  </si>
  <si>
    <t>Mar 18</t>
  </si>
  <si>
    <t>S 253.77</t>
  </si>
  <si>
    <t>PO-Sydney-218463</t>
  </si>
  <si>
    <t>S 442.86</t>
  </si>
  <si>
    <t>S 630.96</t>
  </si>
  <si>
    <t>PO-Sydney-227664</t>
  </si>
  <si>
    <t>S 821.37</t>
  </si>
  <si>
    <t>PO-Melbourne-331460</t>
  </si>
  <si>
    <t>S 950.73</t>
  </si>
  <si>
    <t>PO-Melbourne-327740</t>
  </si>
  <si>
    <t>S 956.34</t>
  </si>
  <si>
    <t>PO-Sydney-221183</t>
  </si>
  <si>
    <t>S 1094.28</t>
  </si>
  <si>
    <t>PO-Sydney-214234</t>
  </si>
  <si>
    <t>S 628.98</t>
  </si>
  <si>
    <t>PO-Melbourne-321456</t>
  </si>
  <si>
    <t>S 1058.31</t>
  </si>
  <si>
    <t>PO-Sydney-233209</t>
  </si>
  <si>
    <t>S 705.54</t>
  </si>
  <si>
    <t>PO-Sydney-222998</t>
  </si>
  <si>
    <t>S 138.60</t>
  </si>
  <si>
    <t>PO-Sydney-228246</t>
  </si>
  <si>
    <t>S 417.12</t>
  </si>
  <si>
    <t>PO-Melbourne-314876</t>
  </si>
  <si>
    <t>S 422.73</t>
  </si>
  <si>
    <t>PO-Sydney-223602</t>
  </si>
  <si>
    <t>S 1061.94</t>
  </si>
  <si>
    <t>PO-Melbourne-319833</t>
  </si>
  <si>
    <t>S 602.58</t>
  </si>
  <si>
    <t>PO-Melbourne-310345</t>
  </si>
  <si>
    <t>S 132.66</t>
  </si>
  <si>
    <t>PO-Melbourne-317142</t>
  </si>
  <si>
    <t>S 56.43</t>
  </si>
  <si>
    <t>PO-Melbourne-313747</t>
  </si>
  <si>
    <t>S 511.83</t>
  </si>
  <si>
    <t>PO-Sydney-234966</t>
  </si>
  <si>
    <t>S 361.02</t>
  </si>
  <si>
    <t>PO-Sydney-215639</t>
  </si>
  <si>
    <t>S 668.25</t>
  </si>
  <si>
    <t>PO-Melbourne-328536</t>
  </si>
  <si>
    <t>PO-Sydney-210023</t>
  </si>
  <si>
    <t>S 1000.23</t>
  </si>
  <si>
    <t>PO-Melbourne-338938</t>
  </si>
  <si>
    <t>S 948.75</t>
  </si>
  <si>
    <t>PO-Melbourne-320536</t>
  </si>
  <si>
    <t>S 446.49</t>
  </si>
  <si>
    <t>PO-Melbourne-322800</t>
  </si>
  <si>
    <t>S 242.22</t>
  </si>
  <si>
    <t>PO-Melbourne-321358</t>
  </si>
  <si>
    <t>Feb 26</t>
  </si>
  <si>
    <t>S 600.60</t>
  </si>
  <si>
    <t>PO-Melbourne-316190</t>
  </si>
  <si>
    <t>S 546.81</t>
  </si>
  <si>
    <t>PO-Melbourne-327938</t>
  </si>
  <si>
    <t>S 840.51</t>
  </si>
  <si>
    <t>PO-Sydney-234487</t>
  </si>
  <si>
    <t>PO-Sydney-231274</t>
  </si>
  <si>
    <t>S 816.75</t>
  </si>
  <si>
    <t>PO-Sydney-224955</t>
  </si>
  <si>
    <t>S 1065.57</t>
  </si>
  <si>
    <t>PO-Sydney-217275</t>
  </si>
  <si>
    <t>S 523.38</t>
  </si>
  <si>
    <t>PO-Sydney-226240</t>
  </si>
  <si>
    <t>S 650.43</t>
  </si>
  <si>
    <t>PO-Melbourne-325643</t>
  </si>
  <si>
    <t>S 809.49</t>
  </si>
  <si>
    <t>PO-Melbourne-312800</t>
  </si>
  <si>
    <t>S 424.38</t>
  </si>
  <si>
    <t>PO-Melbourne-338807</t>
  </si>
  <si>
    <t>S 955.68</t>
  </si>
  <si>
    <t>PO-Sydney-239476</t>
  </si>
  <si>
    <t>Apr 29</t>
  </si>
  <si>
    <t>S 764.28</t>
  </si>
  <si>
    <t>PO-Sydney-213693</t>
  </si>
  <si>
    <t>S 335.61</t>
  </si>
  <si>
    <t>PO-Sydney-235040</t>
  </si>
  <si>
    <t>S 763.29</t>
  </si>
  <si>
    <t>PO-Sydney-211771</t>
  </si>
  <si>
    <t>S 446.16</t>
  </si>
  <si>
    <t>PO-Melbourne-326543</t>
  </si>
  <si>
    <t>S 1032.24</t>
  </si>
  <si>
    <t>PO-Melbourne-338553</t>
  </si>
  <si>
    <t>S 533.28</t>
  </si>
  <si>
    <t>PO-Sydney-213342</t>
  </si>
  <si>
    <t>24673_1</t>
  </si>
  <si>
    <t>1641-7654320-72</t>
  </si>
  <si>
    <t>Sydney</t>
  </si>
  <si>
    <t>2554-4551221-33</t>
  </si>
  <si>
    <t>Melbourne</t>
  </si>
  <si>
    <t>24675_1</t>
  </si>
  <si>
    <t>24676_1</t>
  </si>
  <si>
    <t>24677_1</t>
  </si>
  <si>
    <t>24679_1</t>
  </si>
  <si>
    <t>24679_2</t>
  </si>
  <si>
    <t>24680_1</t>
  </si>
  <si>
    <t>24683_1</t>
  </si>
  <si>
    <t>24685_1</t>
  </si>
  <si>
    <t>24690_1</t>
  </si>
  <si>
    <t>24693_1</t>
  </si>
  <si>
    <t>24697_1</t>
  </si>
  <si>
    <t>24698_1</t>
  </si>
  <si>
    <t>24699_1</t>
  </si>
  <si>
    <t>24704_1</t>
  </si>
  <si>
    <t>24707_1</t>
  </si>
  <si>
    <t>24712_1</t>
  </si>
  <si>
    <t>24717_1</t>
  </si>
  <si>
    <t>24722_1</t>
  </si>
  <si>
    <t>24727_1</t>
  </si>
  <si>
    <t>24730_1</t>
  </si>
  <si>
    <t>24732_1</t>
  </si>
  <si>
    <t>24735_2</t>
  </si>
  <si>
    <t>24739_1</t>
  </si>
  <si>
    <t>24740_1</t>
  </si>
  <si>
    <t>24743_1</t>
  </si>
  <si>
    <t>24746_1</t>
  </si>
  <si>
    <t>24750_1</t>
  </si>
  <si>
    <t>24753_1</t>
  </si>
  <si>
    <t>24754_1</t>
  </si>
  <si>
    <t>24756_1</t>
  </si>
  <si>
    <t>24757_1</t>
  </si>
  <si>
    <t>24758_1</t>
  </si>
  <si>
    <t>24759_1</t>
  </si>
  <si>
    <t>24760_1</t>
  </si>
  <si>
    <t>24761_1</t>
  </si>
  <si>
    <t>24764_1</t>
  </si>
  <si>
    <t>24767_1</t>
  </si>
  <si>
    <t>24771_1</t>
  </si>
  <si>
    <t>24775_1</t>
  </si>
  <si>
    <t>24779_1</t>
  </si>
  <si>
    <t>24784_1</t>
  </si>
  <si>
    <t>24788_1</t>
  </si>
  <si>
    <t>24792_1</t>
  </si>
  <si>
    <t>24793_1</t>
  </si>
  <si>
    <t>24795_1</t>
  </si>
  <si>
    <t>24798_1</t>
  </si>
  <si>
    <t>24801_1</t>
  </si>
  <si>
    <t>24803_1</t>
  </si>
  <si>
    <t>24808_1</t>
  </si>
  <si>
    <t>24813_1</t>
  </si>
  <si>
    <t>24815_1</t>
  </si>
  <si>
    <t>24819_1</t>
  </si>
  <si>
    <t>24822_1</t>
  </si>
  <si>
    <t>24824_1</t>
  </si>
  <si>
    <t>24825_1</t>
  </si>
  <si>
    <t>24830_1</t>
  </si>
  <si>
    <t>24831_1</t>
  </si>
  <si>
    <t>24833_1</t>
  </si>
  <si>
    <t>24837_1</t>
  </si>
  <si>
    <t>24838_1</t>
  </si>
  <si>
    <t>24842_1</t>
  </si>
  <si>
    <t>24847_1</t>
  </si>
  <si>
    <t>24851_1</t>
  </si>
  <si>
    <t>24854_1</t>
  </si>
  <si>
    <t>24857_1</t>
  </si>
  <si>
    <t>24861_1</t>
  </si>
  <si>
    <t>24863_1</t>
  </si>
  <si>
    <t>24866_1</t>
  </si>
  <si>
    <t>24870_1</t>
  </si>
  <si>
    <t>24873_1</t>
  </si>
  <si>
    <t>24875_1</t>
  </si>
  <si>
    <t>24876_1</t>
  </si>
  <si>
    <t>24877_1</t>
  </si>
  <si>
    <t>24878_1</t>
  </si>
  <si>
    <t>24880_1</t>
  </si>
  <si>
    <t>24882_1</t>
  </si>
  <si>
    <t>24885_1</t>
  </si>
  <si>
    <t>24887_1</t>
  </si>
  <si>
    <t>24891_1</t>
  </si>
  <si>
    <t>24893_1</t>
  </si>
  <si>
    <t>24898_1</t>
  </si>
  <si>
    <t>24902_1</t>
  </si>
  <si>
    <t>Payment No</t>
  </si>
  <si>
    <t>Supplier Code</t>
  </si>
  <si>
    <t>Payment Ref</t>
  </si>
  <si>
    <t>System Report for MedsCo April 2020</t>
  </si>
  <si>
    <t>MC2741</t>
  </si>
  <si>
    <t>Invoice Month</t>
  </si>
  <si>
    <t>Paid Amount</t>
  </si>
  <si>
    <t>Late Charge</t>
  </si>
  <si>
    <t>Penalty Rate:</t>
  </si>
  <si>
    <t>Over Due By</t>
  </si>
  <si>
    <t>Analysis for MedsCo April 2020</t>
  </si>
  <si>
    <t>DC Report Total Paid:</t>
  </si>
  <si>
    <t>Supplier Statement Total:</t>
  </si>
  <si>
    <t>Difference:</t>
  </si>
  <si>
    <t>Region</t>
  </si>
  <si>
    <t>Number of Invoices</t>
  </si>
  <si>
    <t>Late Payments</t>
  </si>
  <si>
    <t>Total Paid</t>
  </si>
  <si>
    <t>Location:</t>
  </si>
  <si>
    <t>Invoiced</t>
  </si>
  <si>
    <t>Paid</t>
  </si>
  <si>
    <t>Payments Made:</t>
  </si>
  <si>
    <t>Inv/cr</t>
  </si>
  <si>
    <t>Amount</t>
  </si>
  <si>
    <t>Paid Date</t>
  </si>
  <si>
    <t>System Date:</t>
  </si>
  <si>
    <t>Invoice Day</t>
  </si>
  <si>
    <t>Day</t>
  </si>
  <si>
    <t>WeekDay</t>
  </si>
  <si>
    <t>Holidays</t>
  </si>
  <si>
    <t>Date</t>
  </si>
  <si>
    <t>Holiday</t>
  </si>
  <si>
    <t>New Year's Day</t>
  </si>
  <si>
    <t>Good Friday</t>
  </si>
  <si>
    <t>Labor's Day</t>
  </si>
  <si>
    <t>Christmas Day</t>
  </si>
  <si>
    <t>Perth</t>
  </si>
  <si>
    <t>Total Paid:</t>
  </si>
  <si>
    <t>Days to Pay</t>
  </si>
  <si>
    <t>24888_1</t>
  </si>
  <si>
    <t>Supplier Invoice Statement for MedsCo April 2020</t>
  </si>
  <si>
    <t>Over Due</t>
  </si>
  <si>
    <t>New Penalties</t>
  </si>
  <si>
    <t>Total Payments:</t>
  </si>
  <si>
    <t xml:space="preserve"> </t>
  </si>
  <si>
    <t>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</si>
</sst>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quot;$&quot;#,##0.00;[Red]\-&quot;$&quot;#,##0.00"/>
    <numFmt numFmtId="165" formatCode="_-&quot;$&quot;* #,##0.00_-;\-&quot;$&quot;* #,##0.00_-;_-&quot;$&quot;* &quot;-&quot;??_-;_-@_-"/>
    <numFmt numFmtId="166" formatCode="_-* #,##0.00_-;\-* #,##0.00_-;_-* &quot;-&quot;??_-;_-@_-"/>
    <numFmt numFmtId="167" formatCode="&quot;$&quot;#,##0.00"/>
    <numFmt numFmtId="168" formatCode="yyyy\-mm\-dd;@"/>
    <numFmt numFmtId="169" formatCode="yy/mm/dd;@"/>
  </numFmts>
  <fonts count="12"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8"/>
      <name val="Calibri"/>
      <family val="2"/>
      <scheme val="minor"/>
    </font>
    <font>
      <b/>
      <sz val="15"/>
      <color theme="3"/>
      <name val="Calibri"/>
      <family val="2"/>
      <scheme val="minor"/>
    </font>
    <font>
      <sz val="18"/>
      <color theme="3"/>
      <name val="Calibri Light"/>
      <family val="2"/>
      <scheme val="major"/>
    </font>
    <font>
      <sz val="11"/>
      <name val="Calibri"/>
      <family val="2"/>
      <scheme val="minor"/>
    </font>
    <font>
      <b/>
      <sz val="11"/>
      <color theme="1"/>
      <name val="Calibri"/>
      <scheme val="minor"/>
    </font>
    <font>
      <b/>
      <sz val="11"/>
      <name val="Calibri"/>
      <family val="2"/>
      <scheme val="minor"/>
    </font>
    <font>
      <sz val="9"/>
      <color indexed="81"/>
      <name val="Tahoma"/>
      <charset val="1"/>
    </font>
    <font>
      <b/>
      <sz val="9"/>
      <color indexed="81"/>
      <name val="Tahoma"/>
      <charset val="1"/>
    </font>
  </fonts>
  <fills count="5">
    <fill>
      <patternFill patternType="none"/>
    </fill>
    <fill>
      <patternFill patternType="gray125"/>
    </fill>
    <fill>
      <patternFill patternType="solid">
        <fgColor theme="6" tint="0.79998168889431442"/>
        <bgColor indexed="65"/>
      </patternFill>
    </fill>
    <fill>
      <patternFill patternType="solid">
        <fgColor theme="0" tint="-4.9989318521683403E-2"/>
        <bgColor indexed="64"/>
      </patternFill>
    </fill>
    <fill>
      <patternFill patternType="solid">
        <fgColor theme="1"/>
        <bgColor indexed="64"/>
      </patternFill>
    </fill>
  </fills>
  <borders count="4">
    <border>
      <left/>
      <right/>
      <top/>
      <bottom/>
      <diagonal/>
    </border>
    <border>
      <left/>
      <right/>
      <top/>
      <bottom style="thick">
        <color theme="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2" borderId="0" applyNumberFormat="0" applyBorder="0" applyAlignment="0" applyProtection="0"/>
    <xf numFmtId="0" fontId="3" fillId="0" borderId="0"/>
    <xf numFmtId="166" fontId="3" fillId="0" borderId="0" applyFont="0" applyFill="0" applyBorder="0" applyAlignment="0" applyProtection="0"/>
    <xf numFmtId="165" fontId="3"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0" fontId="5" fillId="0" borderId="1" applyNumberFormat="0" applyFill="0" applyAlignment="0" applyProtection="0"/>
    <xf numFmtId="0" fontId="6" fillId="0" borderId="0" applyNumberFormat="0" applyFill="0" applyBorder="0" applyAlignment="0" applyProtection="0"/>
  </cellStyleXfs>
  <cellXfs count="44">
    <xf numFmtId="0" fontId="0" fillId="0" borderId="0" xfId="0"/>
    <xf numFmtId="167" fontId="0" fillId="0" borderId="0" xfId="0" applyNumberFormat="1"/>
    <xf numFmtId="168" fontId="0" fillId="0" borderId="0" xfId="0" applyNumberFormat="1"/>
    <xf numFmtId="0" fontId="2" fillId="0" borderId="0" xfId="0" applyFont="1"/>
    <xf numFmtId="0" fontId="0" fillId="0" borderId="0" xfId="0" applyNumberFormat="1"/>
    <xf numFmtId="168" fontId="0" fillId="3" borderId="2" xfId="0" applyNumberFormat="1" applyFill="1" applyBorder="1"/>
    <xf numFmtId="10" fontId="0" fillId="3" borderId="3" xfId="0" applyNumberFormat="1" applyFill="1" applyBorder="1"/>
    <xf numFmtId="0" fontId="2" fillId="0" borderId="0" xfId="0" applyFont="1" applyAlignment="1">
      <alignment horizontal="right"/>
    </xf>
    <xf numFmtId="167" fontId="0" fillId="0" borderId="0" xfId="8" applyNumberFormat="1" applyFont="1"/>
    <xf numFmtId="0" fontId="5" fillId="0" borderId="1" xfId="9"/>
    <xf numFmtId="168" fontId="0" fillId="3" borderId="3" xfId="0" applyNumberFormat="1" applyFill="1" applyBorder="1" applyAlignment="1">
      <alignment horizontal="right"/>
    </xf>
    <xf numFmtId="0" fontId="0" fillId="3" borderId="3" xfId="0" applyNumberFormat="1" applyFill="1" applyBorder="1"/>
    <xf numFmtId="0" fontId="2" fillId="0" borderId="0" xfId="0" applyFont="1" applyBorder="1" applyAlignment="1">
      <alignment horizontal="center"/>
    </xf>
    <xf numFmtId="167" fontId="2" fillId="0" borderId="0" xfId="0" applyNumberFormat="1" applyFont="1" applyBorder="1" applyAlignment="1">
      <alignment horizontal="center"/>
    </xf>
    <xf numFmtId="0" fontId="0" fillId="0" borderId="0" xfId="0" applyBorder="1" applyAlignment="1">
      <alignment horizontal="center"/>
    </xf>
    <xf numFmtId="0" fontId="0" fillId="0" borderId="0" xfId="0" applyBorder="1"/>
    <xf numFmtId="167" fontId="0" fillId="0" borderId="0" xfId="0" applyNumberFormat="1" applyBorder="1"/>
    <xf numFmtId="0" fontId="7" fillId="0" borderId="0" xfId="0" applyFont="1" applyBorder="1"/>
    <xf numFmtId="14" fontId="7" fillId="0" borderId="0" xfId="0" applyNumberFormat="1" applyFont="1" applyBorder="1"/>
    <xf numFmtId="164" fontId="7" fillId="0" borderId="0" xfId="0" applyNumberFormat="1" applyFont="1" applyBorder="1"/>
    <xf numFmtId="0" fontId="7" fillId="0" borderId="0" xfId="0" applyNumberFormat="1" applyFont="1" applyBorder="1"/>
    <xf numFmtId="14" fontId="0" fillId="0" borderId="0" xfId="0" applyNumberFormat="1"/>
    <xf numFmtId="22" fontId="0" fillId="0" borderId="0" xfId="0" applyNumberFormat="1"/>
    <xf numFmtId="14" fontId="0" fillId="0" borderId="0" xfId="0" applyNumberFormat="1" applyBorder="1"/>
    <xf numFmtId="0" fontId="2" fillId="0" borderId="0" xfId="0" applyFont="1" applyFill="1" applyBorder="1" applyAlignment="1">
      <alignment horizontal="center"/>
    </xf>
    <xf numFmtId="0" fontId="7" fillId="0" borderId="0" xfId="0" applyFont="1"/>
    <xf numFmtId="164" fontId="7" fillId="0" borderId="0" xfId="0" applyNumberFormat="1" applyFont="1"/>
    <xf numFmtId="14" fontId="7" fillId="0" borderId="0" xfId="0" applyNumberFormat="1" applyFont="1"/>
    <xf numFmtId="0" fontId="7" fillId="0" borderId="0" xfId="0" applyNumberFormat="1" applyFont="1"/>
    <xf numFmtId="169" fontId="0" fillId="0" borderId="0" xfId="0" applyNumberFormat="1"/>
    <xf numFmtId="0" fontId="6" fillId="0" borderId="0" xfId="10" applyAlignment="1">
      <alignment horizontal="left" vertical="center"/>
    </xf>
    <xf numFmtId="0" fontId="0" fillId="0" borderId="0" xfId="0" applyFont="1"/>
    <xf numFmtId="167" fontId="0" fillId="0" borderId="0" xfId="0" applyNumberFormat="1" applyAlignment="1">
      <alignment horizontal="center" vertical="center"/>
    </xf>
    <xf numFmtId="0" fontId="0" fillId="0" borderId="0" xfId="0" applyFont="1" applyAlignment="1">
      <alignment horizontal="center" vertical="center"/>
    </xf>
    <xf numFmtId="0" fontId="0" fillId="0" borderId="0" xfId="0" applyAlignment="1">
      <alignment horizontal="center" vertical="center"/>
    </xf>
    <xf numFmtId="0" fontId="0" fillId="0" borderId="0" xfId="10" applyFont="1" applyFill="1" applyAlignment="1"/>
    <xf numFmtId="0" fontId="2" fillId="3" borderId="2" xfId="0" applyFont="1" applyFill="1" applyBorder="1" applyAlignment="1">
      <alignment horizontal="center" vertical="center"/>
    </xf>
    <xf numFmtId="167" fontId="0" fillId="3" borderId="3" xfId="0" applyNumberFormat="1" applyFill="1" applyBorder="1" applyAlignment="1">
      <alignment horizontal="center" vertical="center"/>
    </xf>
    <xf numFmtId="0" fontId="0" fillId="3" borderId="3" xfId="0" applyFill="1" applyBorder="1" applyAlignment="1">
      <alignment horizontal="center" vertical="center"/>
    </xf>
    <xf numFmtId="0" fontId="1" fillId="0" borderId="0" xfId="1" applyFill="1" applyBorder="1"/>
    <xf numFmtId="0" fontId="0" fillId="4" borderId="0" xfId="0" applyFill="1"/>
    <xf numFmtId="0" fontId="8" fillId="0" borderId="0" xfId="0" applyFont="1" applyBorder="1" applyAlignment="1">
      <alignment horizontal="center"/>
    </xf>
    <xf numFmtId="0" fontId="9" fillId="0" borderId="0" xfId="0" applyNumberFormat="1" applyFont="1" applyBorder="1" applyAlignment="1">
      <alignment horizontal="center" vertical="center"/>
    </xf>
    <xf numFmtId="0" fontId="9" fillId="0" borderId="0" xfId="0" applyNumberFormat="1" applyFont="1" applyAlignment="1">
      <alignment horizontal="center" vertical="center"/>
    </xf>
  </cellXfs>
  <cellStyles count="11">
    <cellStyle name="20% - Accent3" xfId="1" builtinId="38"/>
    <cellStyle name="Comma 2" xfId="3"/>
    <cellStyle name="Currency" xfId="8" builtinId="4"/>
    <cellStyle name="Currency 2" xfId="4"/>
    <cellStyle name="Heading 1" xfId="9" builtinId="16"/>
    <cellStyle name="Normal" xfId="0" builtinId="0"/>
    <cellStyle name="Normal 2" xfId="2"/>
    <cellStyle name="Normal 37" xfId="5"/>
    <cellStyle name="Normal 38" xfId="6"/>
    <cellStyle name="Normal 43" xfId="7"/>
    <cellStyle name="Title" xfId="10" builtinId="15"/>
  </cellStyles>
  <dxfs count="56">
    <dxf>
      <fill>
        <patternFill>
          <bgColor theme="8" tint="0.79998168889431442"/>
        </patternFill>
      </fill>
    </dxf>
    <dxf>
      <fill>
        <patternFill>
          <bgColor theme="8" tint="0.79998168889431442"/>
        </patternFill>
      </fill>
    </dxf>
    <dxf>
      <fill>
        <patternFill>
          <bgColor rgb="FF92D050"/>
        </patternFill>
      </fill>
    </dxf>
    <dxf>
      <fill>
        <patternFill>
          <bgColor rgb="FF77A5D7"/>
        </patternFill>
      </fill>
    </dxf>
    <dxf>
      <font>
        <b val="0"/>
        <i val="0"/>
        <strike val="0"/>
        <condense val="0"/>
        <extend val="0"/>
        <outline val="0"/>
        <shadow val="0"/>
        <u val="none"/>
        <vertAlign val="baseline"/>
        <sz val="11"/>
        <color auto="1"/>
        <name val="Calibri"/>
        <scheme val="minor"/>
      </font>
      <numFmt numFmtId="164" formatCode="&quot;$&quot;#,##0.00;[Red]\-&quot;$&quot;#,##0.00"/>
    </dxf>
    <dxf>
      <font>
        <b/>
        <i val="0"/>
        <strike val="0"/>
        <condense val="0"/>
        <extend val="0"/>
        <outline val="0"/>
        <shadow val="0"/>
        <u val="none"/>
        <vertAlign val="baseline"/>
        <sz val="11"/>
        <color auto="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dxf>
    <dxf>
      <numFmt numFmtId="0" formatCode="General"/>
    </dxf>
    <dxf>
      <font>
        <b val="0"/>
        <i val="0"/>
        <strike val="0"/>
        <condense val="0"/>
        <extend val="0"/>
        <outline val="0"/>
        <shadow val="0"/>
        <u val="none"/>
        <vertAlign val="baseline"/>
        <sz val="11"/>
        <color auto="1"/>
        <name val="Calibri"/>
        <scheme val="minor"/>
      </font>
      <numFmt numFmtId="0" formatCode="General"/>
    </dxf>
    <dxf>
      <numFmt numFmtId="19" formatCode="dd/mm/yy"/>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right" vertical="bottom"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64" formatCode="&quot;$&quot;#,##0.00;[Red]\-&quot;$&quot;#,##0.0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scheme val="minor"/>
      </font>
      <numFmt numFmtId="164" formatCode="&quot;$&quot;#,##0.00;[Red]\-&quot;$&quot;#,##0.00"/>
    </dxf>
    <dxf>
      <font>
        <b val="0"/>
        <i val="0"/>
        <strike val="0"/>
        <condense val="0"/>
        <extend val="0"/>
        <outline val="0"/>
        <shadow val="0"/>
        <u val="none"/>
        <vertAlign val="baseline"/>
        <sz val="11"/>
        <color auto="1"/>
        <name val="Calibri"/>
        <scheme val="minor"/>
      </font>
      <numFmt numFmtId="164" formatCode="&quot;$&quot;#,##0.00;[Red]\-&quot;$&quot;#,##0.0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9" formatCode="dd/mm/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9" formatCode="dd/mm/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9" formatCode="dd/mm/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9" formatCode="dd/mm/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9" formatCode="dd/mm/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numFmt numFmtId="169" formatCode="yy/mm/dd;@"/>
    </dxf>
    <dxf>
      <numFmt numFmtId="169" formatCode="yy/mm/dd;@"/>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ill>
        <patternFill>
          <bgColor rgb="FFDDDDDD"/>
        </patternFill>
      </fill>
    </dxf>
    <dxf>
      <fill>
        <patternFill>
          <bgColor rgb="FF9CB4E0"/>
        </patternFill>
      </fill>
    </dxf>
    <dxf>
      <border>
        <top style="medium">
          <color theme="1" tint="0.24994659260841701"/>
        </top>
        <bottom style="medium">
          <color theme="1" tint="0.24994659260841701"/>
        </bottom>
      </border>
    </dxf>
    <dxf>
      <fill>
        <patternFill>
          <bgColor rgb="FF0944FF"/>
        </patternFill>
      </fill>
    </dxf>
  </dxfs>
  <tableStyles count="1" defaultTableStyle="TableStyleMedium2" defaultPivotStyle="PivotStyleLight16">
    <tableStyle name="Table Style 1" pivot="0" count="4">
      <tableStyleElement type="headerRow" dxfId="55"/>
      <tableStyleElement type="totalRow" dxfId="54"/>
      <tableStyleElement type="firstRowStripe" dxfId="53"/>
      <tableStyleElement type="secondRowStripe" dxfId="52"/>
    </tableStyle>
  </tableStyles>
  <colors>
    <mruColors>
      <color rgb="FF9CB4E0"/>
      <color rgb="FF77A5D7"/>
      <color rgb="FF16659A"/>
      <color rgb="FF0944FF"/>
      <color rgb="FF27F20C"/>
      <color rgb="FF88AA93"/>
      <color rgb="FFDDDDDD"/>
      <color rgb="FF3366FF"/>
      <color rgb="FF0033CC"/>
      <color rgb="FF548D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152400</xdr:rowOff>
    </xdr:from>
    <xdr:to>
      <xdr:col>4</xdr:col>
      <xdr:colOff>171450</xdr:colOff>
      <xdr:row>2</xdr:row>
      <xdr:rowOff>9144</xdr:rowOff>
    </xdr:to>
    <xdr:sp macro="" textlink="">
      <xdr:nvSpPr>
        <xdr:cNvPr id="2" name="TextBox 1"/>
        <xdr:cNvSpPr txBox="1"/>
      </xdr:nvSpPr>
      <xdr:spPr>
        <a:xfrm>
          <a:off x="0" y="533400"/>
          <a:ext cx="2609850" cy="237744"/>
        </a:xfrm>
        <a:prstGeom prst="rect">
          <a:avLst/>
        </a:prstGeom>
        <a:noFill/>
        <a:ln w="19050" cmpd="sng">
          <a:noFill/>
          <a:prstDash val="lgDashDot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chemeClr val="bg1">
                  <a:lumMod val="95000"/>
                </a:schemeClr>
              </a:solidFill>
              <a:latin typeface="Arial" panose="020B0604020202020204" pitchFamily="34" charset="0"/>
              <a:cs typeface="Arial" panose="020B0604020202020204" pitchFamily="34" charset="0"/>
            </a:rPr>
            <a:t>Supplier Invoice Statement</a:t>
          </a:r>
        </a:p>
      </xdr:txBody>
    </xdr:sp>
    <xdr:clientData/>
  </xdr:twoCellAnchor>
  <xdr:twoCellAnchor>
    <xdr:from>
      <xdr:col>0</xdr:col>
      <xdr:colOff>1</xdr:colOff>
      <xdr:row>12</xdr:row>
      <xdr:rowOff>180975</xdr:rowOff>
    </xdr:from>
    <xdr:to>
      <xdr:col>3</xdr:col>
      <xdr:colOff>419101</xdr:colOff>
      <xdr:row>14</xdr:row>
      <xdr:rowOff>38101</xdr:rowOff>
    </xdr:to>
    <xdr:sp macro="" textlink="">
      <xdr:nvSpPr>
        <xdr:cNvPr id="34" name="TextBox 33"/>
        <xdr:cNvSpPr txBox="1"/>
      </xdr:nvSpPr>
      <xdr:spPr>
        <a:xfrm>
          <a:off x="1" y="2847975"/>
          <a:ext cx="2247900" cy="238126"/>
        </a:xfrm>
        <a:prstGeom prst="rect">
          <a:avLst/>
        </a:prstGeom>
        <a:noFill/>
        <a:ln w="19050" cmpd="sng">
          <a:noFill/>
          <a:prstDash val="lgDashDot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chemeClr val="bg1">
                  <a:lumMod val="95000"/>
                </a:schemeClr>
              </a:solidFill>
              <a:latin typeface="Arial" panose="020B0604020202020204" pitchFamily="34" charset="0"/>
              <a:cs typeface="Arial" panose="020B0604020202020204" pitchFamily="34" charset="0"/>
            </a:rPr>
            <a:t>MedsCo</a:t>
          </a:r>
          <a:r>
            <a:rPr lang="en-US" sz="1400" b="1" baseline="0">
              <a:solidFill>
                <a:schemeClr val="bg1">
                  <a:lumMod val="95000"/>
                </a:schemeClr>
              </a:solidFill>
              <a:latin typeface="Arial" panose="020B0604020202020204" pitchFamily="34" charset="0"/>
              <a:cs typeface="Arial" panose="020B0604020202020204" pitchFamily="34" charset="0"/>
            </a:rPr>
            <a:t> Invoice Report</a:t>
          </a:r>
          <a:endParaRPr lang="en-US" sz="1400" b="1">
            <a:solidFill>
              <a:schemeClr val="bg1">
                <a:lumMod val="95000"/>
              </a:schemeClr>
            </a:solidFill>
            <a:latin typeface="Arial" panose="020B0604020202020204" pitchFamily="34" charset="0"/>
            <a:cs typeface="Arial" panose="020B0604020202020204" pitchFamily="34" charset="0"/>
          </a:endParaRPr>
        </a:p>
      </xdr:txBody>
    </xdr:sp>
    <xdr:clientData/>
  </xdr:twoCellAnchor>
  <xdr:twoCellAnchor>
    <xdr:from>
      <xdr:col>0</xdr:col>
      <xdr:colOff>219075</xdr:colOff>
      <xdr:row>3</xdr:row>
      <xdr:rowOff>0</xdr:rowOff>
    </xdr:from>
    <xdr:to>
      <xdr:col>1</xdr:col>
      <xdr:colOff>533400</xdr:colOff>
      <xdr:row>4</xdr:row>
      <xdr:rowOff>95250</xdr:rowOff>
    </xdr:to>
    <xdr:sp macro="[0]!clean_proper_trim" textlink="">
      <xdr:nvSpPr>
        <xdr:cNvPr id="4" name="Rounded Rectangle 3"/>
        <xdr:cNvSpPr/>
      </xdr:nvSpPr>
      <xdr:spPr>
        <a:xfrm>
          <a:off x="219075" y="95250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chemeClr val="tx1"/>
              </a:solidFill>
              <a:latin typeface="Poppins" panose="00000500000000000000" pitchFamily="2" charset="0"/>
              <a:cs typeface="Poppins" panose="00000500000000000000" pitchFamily="2" charset="0"/>
            </a:rPr>
            <a:t>Clean( )</a:t>
          </a:r>
        </a:p>
      </xdr:txBody>
    </xdr:sp>
    <xdr:clientData/>
  </xdr:twoCellAnchor>
  <xdr:twoCellAnchor>
    <xdr:from>
      <xdr:col>2</xdr:col>
      <xdr:colOff>39687</xdr:colOff>
      <xdr:row>3</xdr:row>
      <xdr:rowOff>0</xdr:rowOff>
    </xdr:from>
    <xdr:to>
      <xdr:col>3</xdr:col>
      <xdr:colOff>354012</xdr:colOff>
      <xdr:row>4</xdr:row>
      <xdr:rowOff>95250</xdr:rowOff>
    </xdr:to>
    <xdr:sp macro="[0]!clean_proper_trim" textlink="">
      <xdr:nvSpPr>
        <xdr:cNvPr id="47" name="Rounded Rectangle 46"/>
        <xdr:cNvSpPr/>
      </xdr:nvSpPr>
      <xdr:spPr>
        <a:xfrm>
          <a:off x="1258887" y="95250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Trim</a:t>
          </a:r>
          <a:r>
            <a:rPr lang="en-US" sz="1000" b="0" baseline="0">
              <a:solidFill>
                <a:schemeClr val="tx1"/>
              </a:solidFill>
              <a:latin typeface="Poppins" panose="00000500000000000000" pitchFamily="2" charset="0"/>
              <a:ea typeface="+mn-ea"/>
              <a:cs typeface="Poppins" panose="00000500000000000000" pitchFamily="2" charset="0"/>
            </a:rPr>
            <a:t>( )</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3</xdr:col>
      <xdr:colOff>469899</xdr:colOff>
      <xdr:row>3</xdr:row>
      <xdr:rowOff>0</xdr:rowOff>
    </xdr:from>
    <xdr:to>
      <xdr:col>5</xdr:col>
      <xdr:colOff>174624</xdr:colOff>
      <xdr:row>4</xdr:row>
      <xdr:rowOff>95250</xdr:rowOff>
    </xdr:to>
    <xdr:sp macro="[0]!_xludf.right" textlink="">
      <xdr:nvSpPr>
        <xdr:cNvPr id="48" name="Rounded Rectangle 47"/>
        <xdr:cNvSpPr/>
      </xdr:nvSpPr>
      <xdr:spPr>
        <a:xfrm>
          <a:off x="2298699" y="95250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Right( )</a:t>
          </a:r>
        </a:p>
      </xdr:txBody>
    </xdr:sp>
    <xdr:clientData/>
  </xdr:twoCellAnchor>
  <xdr:twoCellAnchor>
    <xdr:from>
      <xdr:col>5</xdr:col>
      <xdr:colOff>290511</xdr:colOff>
      <xdr:row>3</xdr:row>
      <xdr:rowOff>0</xdr:rowOff>
    </xdr:from>
    <xdr:to>
      <xdr:col>6</xdr:col>
      <xdr:colOff>604836</xdr:colOff>
      <xdr:row>4</xdr:row>
      <xdr:rowOff>95250</xdr:rowOff>
    </xdr:to>
    <xdr:sp macro="[0]!_xludf.substitute" textlink="">
      <xdr:nvSpPr>
        <xdr:cNvPr id="49" name="Rounded Rectangle 48"/>
        <xdr:cNvSpPr/>
      </xdr:nvSpPr>
      <xdr:spPr>
        <a:xfrm>
          <a:off x="3338511" y="95250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en-US" sz="900" b="0">
              <a:solidFill>
                <a:schemeClr val="tx1"/>
              </a:solidFill>
              <a:latin typeface="Poppins" panose="00000500000000000000" pitchFamily="2" charset="0"/>
              <a:ea typeface="+mn-ea"/>
              <a:cs typeface="Poppins" panose="00000500000000000000" pitchFamily="2" charset="0"/>
            </a:rPr>
            <a:t>Substitute</a:t>
          </a:r>
          <a:r>
            <a:rPr lang="en-US" sz="900" b="0" baseline="0">
              <a:solidFill>
                <a:schemeClr val="tx1"/>
              </a:solidFill>
              <a:latin typeface="Poppins" panose="00000500000000000000" pitchFamily="2" charset="0"/>
              <a:ea typeface="+mn-ea"/>
              <a:cs typeface="Poppins" panose="00000500000000000000" pitchFamily="2" charset="0"/>
            </a:rPr>
            <a:t>( )</a:t>
          </a:r>
        </a:p>
      </xdr:txBody>
    </xdr:sp>
    <xdr:clientData/>
  </xdr:twoCellAnchor>
  <xdr:twoCellAnchor>
    <xdr:from>
      <xdr:col>7</xdr:col>
      <xdr:colOff>111123</xdr:colOff>
      <xdr:row>3</xdr:row>
      <xdr:rowOff>0</xdr:rowOff>
    </xdr:from>
    <xdr:to>
      <xdr:col>8</xdr:col>
      <xdr:colOff>425448</xdr:colOff>
      <xdr:row>4</xdr:row>
      <xdr:rowOff>95250</xdr:rowOff>
    </xdr:to>
    <xdr:sp macro="[0]!mid_find" textlink="">
      <xdr:nvSpPr>
        <xdr:cNvPr id="50" name="Rounded Rectangle 49"/>
        <xdr:cNvSpPr/>
      </xdr:nvSpPr>
      <xdr:spPr>
        <a:xfrm>
          <a:off x="4378323" y="95250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Mid( )</a:t>
          </a:r>
        </a:p>
      </xdr:txBody>
    </xdr:sp>
    <xdr:clientData/>
  </xdr:twoCellAnchor>
  <xdr:twoCellAnchor>
    <xdr:from>
      <xdr:col>8</xdr:col>
      <xdr:colOff>541335</xdr:colOff>
      <xdr:row>3</xdr:row>
      <xdr:rowOff>0</xdr:rowOff>
    </xdr:from>
    <xdr:to>
      <xdr:col>10</xdr:col>
      <xdr:colOff>246060</xdr:colOff>
      <xdr:row>4</xdr:row>
      <xdr:rowOff>95250</xdr:rowOff>
    </xdr:to>
    <xdr:sp macro="[0]!date_" textlink="">
      <xdr:nvSpPr>
        <xdr:cNvPr id="51" name="Rounded Rectangle 50"/>
        <xdr:cNvSpPr/>
      </xdr:nvSpPr>
      <xdr:spPr>
        <a:xfrm>
          <a:off x="5418135" y="95250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Date(</a:t>
          </a:r>
          <a:r>
            <a:rPr lang="en-US" sz="1000" b="0" baseline="0">
              <a:solidFill>
                <a:schemeClr val="tx1"/>
              </a:solidFill>
              <a:latin typeface="Poppins" panose="00000500000000000000" pitchFamily="2" charset="0"/>
              <a:ea typeface="+mn-ea"/>
              <a:cs typeface="Poppins" panose="00000500000000000000" pitchFamily="2" charset="0"/>
            </a:rPr>
            <a:t> )</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10</xdr:col>
      <xdr:colOff>361949</xdr:colOff>
      <xdr:row>3</xdr:row>
      <xdr:rowOff>0</xdr:rowOff>
    </xdr:from>
    <xdr:to>
      <xdr:col>12</xdr:col>
      <xdr:colOff>352424</xdr:colOff>
      <xdr:row>4</xdr:row>
      <xdr:rowOff>95250</xdr:rowOff>
    </xdr:to>
    <xdr:sp macro="[0]!concatenate_" textlink="">
      <xdr:nvSpPr>
        <xdr:cNvPr id="52" name="Rounded Rectangle 51"/>
        <xdr:cNvSpPr/>
      </xdr:nvSpPr>
      <xdr:spPr>
        <a:xfrm>
          <a:off x="6457949" y="952500"/>
          <a:ext cx="120967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Concatenate( </a:t>
          </a:r>
          <a:r>
            <a:rPr lang="en-US" sz="1000" b="0" baseline="0">
              <a:solidFill>
                <a:schemeClr val="tx1"/>
              </a:solidFill>
              <a:latin typeface="Poppins" panose="00000500000000000000" pitchFamily="2" charset="0"/>
              <a:ea typeface="+mn-ea"/>
              <a:cs typeface="Poppins" panose="00000500000000000000" pitchFamily="2" charset="0"/>
            </a:rPr>
            <a:t>)</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0</xdr:col>
      <xdr:colOff>219075</xdr:colOff>
      <xdr:row>5</xdr:row>
      <xdr:rowOff>9525</xdr:rowOff>
    </xdr:from>
    <xdr:to>
      <xdr:col>1</xdr:col>
      <xdr:colOff>533400</xdr:colOff>
      <xdr:row>6</xdr:row>
      <xdr:rowOff>104775</xdr:rowOff>
    </xdr:to>
    <xdr:sp macro="[0]!_xludf.text" textlink="">
      <xdr:nvSpPr>
        <xdr:cNvPr id="53" name="Rounded Rectangle 52"/>
        <xdr:cNvSpPr/>
      </xdr:nvSpPr>
      <xdr:spPr>
        <a:xfrm>
          <a:off x="219075" y="1343025"/>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Text</a:t>
          </a:r>
          <a:r>
            <a:rPr lang="en-US" sz="1000" b="0" baseline="0">
              <a:solidFill>
                <a:schemeClr val="tx1"/>
              </a:solidFill>
              <a:latin typeface="Poppins" panose="00000500000000000000" pitchFamily="2" charset="0"/>
              <a:ea typeface="+mn-ea"/>
              <a:cs typeface="Poppins" panose="00000500000000000000" pitchFamily="2" charset="0"/>
            </a:rPr>
            <a:t>( )</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2</xdr:col>
      <xdr:colOff>39687</xdr:colOff>
      <xdr:row>5</xdr:row>
      <xdr:rowOff>4762</xdr:rowOff>
    </xdr:from>
    <xdr:to>
      <xdr:col>3</xdr:col>
      <xdr:colOff>354012</xdr:colOff>
      <xdr:row>6</xdr:row>
      <xdr:rowOff>100012</xdr:rowOff>
    </xdr:to>
    <xdr:sp macro="[0]!mid_find" textlink="">
      <xdr:nvSpPr>
        <xdr:cNvPr id="54" name="Rounded Rectangle 53"/>
        <xdr:cNvSpPr/>
      </xdr:nvSpPr>
      <xdr:spPr>
        <a:xfrm>
          <a:off x="1258887" y="1338262"/>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Find( )</a:t>
          </a:r>
        </a:p>
      </xdr:txBody>
    </xdr:sp>
    <xdr:clientData/>
  </xdr:twoCellAnchor>
  <xdr:twoCellAnchor>
    <xdr:from>
      <xdr:col>3</xdr:col>
      <xdr:colOff>469899</xdr:colOff>
      <xdr:row>5</xdr:row>
      <xdr:rowOff>4762</xdr:rowOff>
    </xdr:from>
    <xdr:to>
      <xdr:col>5</xdr:col>
      <xdr:colOff>174624</xdr:colOff>
      <xdr:row>6</xdr:row>
      <xdr:rowOff>100012</xdr:rowOff>
    </xdr:to>
    <xdr:sp macro="[0]!_xludf.rows" textlink="">
      <xdr:nvSpPr>
        <xdr:cNvPr id="55" name="Rounded Rectangle 54"/>
        <xdr:cNvSpPr/>
      </xdr:nvSpPr>
      <xdr:spPr>
        <a:xfrm>
          <a:off x="2298699" y="1338262"/>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Rows( )</a:t>
          </a:r>
        </a:p>
      </xdr:txBody>
    </xdr:sp>
    <xdr:clientData/>
  </xdr:twoCellAnchor>
  <xdr:twoCellAnchor>
    <xdr:from>
      <xdr:col>5</xdr:col>
      <xdr:colOff>290511</xdr:colOff>
      <xdr:row>5</xdr:row>
      <xdr:rowOff>4762</xdr:rowOff>
    </xdr:from>
    <xdr:to>
      <xdr:col>6</xdr:col>
      <xdr:colOff>604836</xdr:colOff>
      <xdr:row>6</xdr:row>
      <xdr:rowOff>100012</xdr:rowOff>
    </xdr:to>
    <xdr:sp macro="[0]!clean_proper_trim" textlink="">
      <xdr:nvSpPr>
        <xdr:cNvPr id="56" name="Rounded Rectangle 55"/>
        <xdr:cNvSpPr/>
      </xdr:nvSpPr>
      <xdr:spPr>
        <a:xfrm>
          <a:off x="3338511" y="1338262"/>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Proper( )</a:t>
          </a:r>
        </a:p>
      </xdr:txBody>
    </xdr:sp>
    <xdr:clientData/>
  </xdr:twoCellAnchor>
  <xdr:twoCellAnchor>
    <xdr:from>
      <xdr:col>7</xdr:col>
      <xdr:colOff>111123</xdr:colOff>
      <xdr:row>5</xdr:row>
      <xdr:rowOff>4762</xdr:rowOff>
    </xdr:from>
    <xdr:to>
      <xdr:col>8</xdr:col>
      <xdr:colOff>425448</xdr:colOff>
      <xdr:row>6</xdr:row>
      <xdr:rowOff>100012</xdr:rowOff>
    </xdr:to>
    <xdr:sp macro="[0]!_xludf.today" textlink="">
      <xdr:nvSpPr>
        <xdr:cNvPr id="73" name="Rounded Rectangle 72"/>
        <xdr:cNvSpPr/>
      </xdr:nvSpPr>
      <xdr:spPr>
        <a:xfrm>
          <a:off x="4378323" y="1338262"/>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Today( )</a:t>
          </a:r>
        </a:p>
      </xdr:txBody>
    </xdr:sp>
    <xdr:clientData/>
  </xdr:twoCellAnchor>
  <xdr:twoCellAnchor>
    <xdr:from>
      <xdr:col>8</xdr:col>
      <xdr:colOff>541335</xdr:colOff>
      <xdr:row>5</xdr:row>
      <xdr:rowOff>4762</xdr:rowOff>
    </xdr:from>
    <xdr:to>
      <xdr:col>10</xdr:col>
      <xdr:colOff>246060</xdr:colOff>
      <xdr:row>6</xdr:row>
      <xdr:rowOff>100012</xdr:rowOff>
    </xdr:to>
    <xdr:sp macro="[0]!month_" textlink="">
      <xdr:nvSpPr>
        <xdr:cNvPr id="74" name="Rounded Rectangle 73"/>
        <xdr:cNvSpPr/>
      </xdr:nvSpPr>
      <xdr:spPr>
        <a:xfrm>
          <a:off x="5418135" y="1338262"/>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Month</a:t>
          </a:r>
          <a:r>
            <a:rPr lang="en-US" sz="1000" b="0" baseline="0">
              <a:solidFill>
                <a:schemeClr val="tx1"/>
              </a:solidFill>
              <a:latin typeface="Poppins" panose="00000500000000000000" pitchFamily="2" charset="0"/>
              <a:ea typeface="+mn-ea"/>
              <a:cs typeface="Poppins" panose="00000500000000000000" pitchFamily="2" charset="0"/>
            </a:rPr>
            <a:t>( )</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0</xdr:col>
      <xdr:colOff>211138</xdr:colOff>
      <xdr:row>7</xdr:row>
      <xdr:rowOff>19050</xdr:rowOff>
    </xdr:from>
    <xdr:to>
      <xdr:col>1</xdr:col>
      <xdr:colOff>525463</xdr:colOff>
      <xdr:row>8</xdr:row>
      <xdr:rowOff>114300</xdr:rowOff>
    </xdr:to>
    <xdr:sp macro="[0]!_xludf.sum" textlink="">
      <xdr:nvSpPr>
        <xdr:cNvPr id="75" name="Rounded Rectangle 74"/>
        <xdr:cNvSpPr/>
      </xdr:nvSpPr>
      <xdr:spPr>
        <a:xfrm>
          <a:off x="211138" y="173355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Sum(</a:t>
          </a:r>
          <a:r>
            <a:rPr lang="en-US" sz="1000" b="0" baseline="0">
              <a:solidFill>
                <a:schemeClr val="tx1"/>
              </a:solidFill>
              <a:latin typeface="Poppins" panose="00000500000000000000" pitchFamily="2" charset="0"/>
              <a:ea typeface="+mn-ea"/>
              <a:cs typeface="Poppins" panose="00000500000000000000" pitchFamily="2" charset="0"/>
            </a:rPr>
            <a:t> )</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0</xdr:col>
      <xdr:colOff>211138</xdr:colOff>
      <xdr:row>9</xdr:row>
      <xdr:rowOff>28573</xdr:rowOff>
    </xdr:from>
    <xdr:to>
      <xdr:col>1</xdr:col>
      <xdr:colOff>525463</xdr:colOff>
      <xdr:row>11</xdr:row>
      <xdr:rowOff>135606</xdr:rowOff>
    </xdr:to>
    <xdr:sp macro="" textlink="">
      <xdr:nvSpPr>
        <xdr:cNvPr id="76" name="Rounded Rectangle 75"/>
        <xdr:cNvSpPr/>
      </xdr:nvSpPr>
      <xdr:spPr>
        <a:xfrm>
          <a:off x="211138" y="2124073"/>
          <a:ext cx="923925" cy="488033"/>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Data Cleaning</a:t>
          </a:r>
        </a:p>
      </xdr:txBody>
    </xdr:sp>
    <xdr:clientData/>
  </xdr:twoCellAnchor>
  <xdr:twoCellAnchor>
    <xdr:from>
      <xdr:col>2</xdr:col>
      <xdr:colOff>33073</xdr:colOff>
      <xdr:row>9</xdr:row>
      <xdr:rowOff>28574</xdr:rowOff>
    </xdr:from>
    <xdr:to>
      <xdr:col>3</xdr:col>
      <xdr:colOff>347398</xdr:colOff>
      <xdr:row>11</xdr:row>
      <xdr:rowOff>133349</xdr:rowOff>
    </xdr:to>
    <xdr:sp macro="" textlink="">
      <xdr:nvSpPr>
        <xdr:cNvPr id="77" name="Rounded Rectangle 76"/>
        <xdr:cNvSpPr/>
      </xdr:nvSpPr>
      <xdr:spPr>
        <a:xfrm>
          <a:off x="1252273" y="2124074"/>
          <a:ext cx="923925" cy="485775"/>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Named</a:t>
          </a:r>
          <a:r>
            <a:rPr lang="en-US" sz="900" b="1" baseline="0">
              <a:solidFill>
                <a:schemeClr val="tx1"/>
              </a:solidFill>
              <a:latin typeface="Poppins" panose="00000500000000000000" pitchFamily="2" charset="0"/>
              <a:ea typeface="+mn-ea"/>
              <a:cs typeface="Poppins" panose="00000500000000000000" pitchFamily="2" charset="0"/>
            </a:rPr>
            <a:t> Ranges</a:t>
          </a:r>
          <a:endParaRPr lang="en-US" sz="900" b="1">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3</xdr:col>
      <xdr:colOff>464608</xdr:colOff>
      <xdr:row>9</xdr:row>
      <xdr:rowOff>28574</xdr:rowOff>
    </xdr:from>
    <xdr:to>
      <xdr:col>5</xdr:col>
      <xdr:colOff>169333</xdr:colOff>
      <xdr:row>11</xdr:row>
      <xdr:rowOff>133349</xdr:rowOff>
    </xdr:to>
    <xdr:sp macro="" textlink="">
      <xdr:nvSpPr>
        <xdr:cNvPr id="78" name="Rounded Rectangle 77"/>
        <xdr:cNvSpPr/>
      </xdr:nvSpPr>
      <xdr:spPr>
        <a:xfrm>
          <a:off x="2293408" y="2124074"/>
          <a:ext cx="923925" cy="485775"/>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Aggregate Functions</a:t>
          </a:r>
        </a:p>
      </xdr:txBody>
    </xdr:sp>
    <xdr:clientData/>
  </xdr:twoCellAnchor>
  <xdr:twoCellAnchor>
    <xdr:from>
      <xdr:col>5</xdr:col>
      <xdr:colOff>286543</xdr:colOff>
      <xdr:row>9</xdr:row>
      <xdr:rowOff>28574</xdr:rowOff>
    </xdr:from>
    <xdr:to>
      <xdr:col>6</xdr:col>
      <xdr:colOff>600868</xdr:colOff>
      <xdr:row>11</xdr:row>
      <xdr:rowOff>133349</xdr:rowOff>
    </xdr:to>
    <xdr:sp macro="" textlink="">
      <xdr:nvSpPr>
        <xdr:cNvPr id="79" name="Rounded Rectangle 78"/>
        <xdr:cNvSpPr/>
      </xdr:nvSpPr>
      <xdr:spPr>
        <a:xfrm>
          <a:off x="3334543" y="2124074"/>
          <a:ext cx="923925" cy="485775"/>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Macros</a:t>
          </a:r>
        </a:p>
      </xdr:txBody>
    </xdr:sp>
    <xdr:clientData/>
  </xdr:twoCellAnchor>
  <xdr:twoCellAnchor>
    <xdr:from>
      <xdr:col>7</xdr:col>
      <xdr:colOff>108478</xdr:colOff>
      <xdr:row>9</xdr:row>
      <xdr:rowOff>28574</xdr:rowOff>
    </xdr:from>
    <xdr:to>
      <xdr:col>8</xdr:col>
      <xdr:colOff>422803</xdr:colOff>
      <xdr:row>11</xdr:row>
      <xdr:rowOff>133349</xdr:rowOff>
    </xdr:to>
    <xdr:sp macro="" textlink="">
      <xdr:nvSpPr>
        <xdr:cNvPr id="80" name="Rounded Rectangle 79"/>
        <xdr:cNvSpPr/>
      </xdr:nvSpPr>
      <xdr:spPr>
        <a:xfrm>
          <a:off x="4375678" y="2124074"/>
          <a:ext cx="923925" cy="485775"/>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Sorting &amp; Filtering</a:t>
          </a:r>
        </a:p>
      </xdr:txBody>
    </xdr:sp>
    <xdr:clientData/>
  </xdr:twoCellAnchor>
  <xdr:twoCellAnchor>
    <xdr:from>
      <xdr:col>0</xdr:col>
      <xdr:colOff>219075</xdr:colOff>
      <xdr:row>15</xdr:row>
      <xdr:rowOff>57150</xdr:rowOff>
    </xdr:from>
    <xdr:to>
      <xdr:col>1</xdr:col>
      <xdr:colOff>533400</xdr:colOff>
      <xdr:row>16</xdr:row>
      <xdr:rowOff>161925</xdr:rowOff>
    </xdr:to>
    <xdr:sp macro="[0]!workday_intl" textlink="">
      <xdr:nvSpPr>
        <xdr:cNvPr id="82" name="Rounded Rectangle 81"/>
        <xdr:cNvSpPr/>
      </xdr:nvSpPr>
      <xdr:spPr>
        <a:xfrm>
          <a:off x="219075" y="329565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0">
              <a:solidFill>
                <a:schemeClr val="tx1"/>
              </a:solidFill>
              <a:latin typeface="Poppins" panose="00000500000000000000" pitchFamily="2" charset="0"/>
              <a:ea typeface="+mn-ea"/>
              <a:cs typeface="Poppins" panose="00000500000000000000" pitchFamily="2" charset="0"/>
            </a:rPr>
            <a:t>Workday.intl(</a:t>
          </a:r>
          <a:r>
            <a:rPr lang="en-US" sz="900" b="0" baseline="0">
              <a:solidFill>
                <a:schemeClr val="tx1"/>
              </a:solidFill>
              <a:latin typeface="Poppins" panose="00000500000000000000" pitchFamily="2" charset="0"/>
              <a:ea typeface="+mn-ea"/>
              <a:cs typeface="Poppins" panose="00000500000000000000" pitchFamily="2" charset="0"/>
            </a:rPr>
            <a:t> )</a:t>
          </a:r>
          <a:endParaRPr lang="en-US" sz="9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2</xdr:col>
      <xdr:colOff>39688</xdr:colOff>
      <xdr:row>15</xdr:row>
      <xdr:rowOff>57150</xdr:rowOff>
    </xdr:from>
    <xdr:to>
      <xdr:col>3</xdr:col>
      <xdr:colOff>354013</xdr:colOff>
      <xdr:row>16</xdr:row>
      <xdr:rowOff>161925</xdr:rowOff>
    </xdr:to>
    <xdr:sp macro="[0]!text_" textlink="">
      <xdr:nvSpPr>
        <xdr:cNvPr id="83" name="Rounded Rectangle 82"/>
        <xdr:cNvSpPr/>
      </xdr:nvSpPr>
      <xdr:spPr>
        <a:xfrm>
          <a:off x="1258888" y="329565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Text(</a:t>
          </a:r>
          <a:r>
            <a:rPr lang="en-US" sz="1000" b="0" baseline="0">
              <a:solidFill>
                <a:schemeClr val="tx1"/>
              </a:solidFill>
              <a:latin typeface="Poppins" panose="00000500000000000000" pitchFamily="2" charset="0"/>
              <a:ea typeface="+mn-ea"/>
              <a:cs typeface="Poppins" panose="00000500000000000000" pitchFamily="2" charset="0"/>
            </a:rPr>
            <a:t> )</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3</xdr:col>
      <xdr:colOff>469901</xdr:colOff>
      <xdr:row>15</xdr:row>
      <xdr:rowOff>57150</xdr:rowOff>
    </xdr:from>
    <xdr:to>
      <xdr:col>5</xdr:col>
      <xdr:colOff>174626</xdr:colOff>
      <xdr:row>16</xdr:row>
      <xdr:rowOff>161925</xdr:rowOff>
    </xdr:to>
    <xdr:sp macro="[0]!day_" textlink="">
      <xdr:nvSpPr>
        <xdr:cNvPr id="84" name="Rounded Rectangle 83"/>
        <xdr:cNvSpPr/>
      </xdr:nvSpPr>
      <xdr:spPr>
        <a:xfrm>
          <a:off x="2298701" y="329565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Day(</a:t>
          </a:r>
          <a:r>
            <a:rPr lang="en-US" sz="1000" b="0" baseline="0">
              <a:solidFill>
                <a:schemeClr val="tx1"/>
              </a:solidFill>
              <a:latin typeface="Poppins" panose="00000500000000000000" pitchFamily="2" charset="0"/>
              <a:ea typeface="+mn-ea"/>
              <a:cs typeface="Poppins" panose="00000500000000000000" pitchFamily="2" charset="0"/>
            </a:rPr>
            <a:t> )</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5</xdr:col>
      <xdr:colOff>290514</xdr:colOff>
      <xdr:row>15</xdr:row>
      <xdr:rowOff>57150</xdr:rowOff>
    </xdr:from>
    <xdr:to>
      <xdr:col>6</xdr:col>
      <xdr:colOff>604839</xdr:colOff>
      <xdr:row>16</xdr:row>
      <xdr:rowOff>161925</xdr:rowOff>
    </xdr:to>
    <xdr:sp macro="[0]!if_condition" textlink="">
      <xdr:nvSpPr>
        <xdr:cNvPr id="85" name="Rounded Rectangle 84"/>
        <xdr:cNvSpPr/>
      </xdr:nvSpPr>
      <xdr:spPr>
        <a:xfrm>
          <a:off x="3338514" y="329565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If</a:t>
          </a:r>
          <a:r>
            <a:rPr lang="en-US" sz="1000" b="0" baseline="0">
              <a:solidFill>
                <a:schemeClr val="tx1"/>
              </a:solidFill>
              <a:latin typeface="Poppins" panose="00000500000000000000" pitchFamily="2" charset="0"/>
              <a:ea typeface="+mn-ea"/>
              <a:cs typeface="Poppins" panose="00000500000000000000" pitchFamily="2" charset="0"/>
            </a:rPr>
            <a:t> ( )</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7</xdr:col>
      <xdr:colOff>111127</xdr:colOff>
      <xdr:row>15</xdr:row>
      <xdr:rowOff>57150</xdr:rowOff>
    </xdr:from>
    <xdr:to>
      <xdr:col>8</xdr:col>
      <xdr:colOff>425452</xdr:colOff>
      <xdr:row>16</xdr:row>
      <xdr:rowOff>161925</xdr:rowOff>
    </xdr:to>
    <xdr:sp macro="[0]!_xludf.vlookup" textlink="">
      <xdr:nvSpPr>
        <xdr:cNvPr id="86" name="Rounded Rectangle 85"/>
        <xdr:cNvSpPr/>
      </xdr:nvSpPr>
      <xdr:spPr>
        <a:xfrm>
          <a:off x="4378327" y="329565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0">
              <a:solidFill>
                <a:schemeClr val="tx1"/>
              </a:solidFill>
              <a:latin typeface="Poppins" panose="00000500000000000000" pitchFamily="2" charset="0"/>
              <a:ea typeface="+mn-ea"/>
              <a:cs typeface="Poppins" panose="00000500000000000000" pitchFamily="2" charset="0"/>
            </a:rPr>
            <a:t>Vlookup(</a:t>
          </a:r>
          <a:r>
            <a:rPr lang="en-US" sz="900" b="0" baseline="0">
              <a:solidFill>
                <a:schemeClr val="tx1"/>
              </a:solidFill>
              <a:latin typeface="Poppins" panose="00000500000000000000" pitchFamily="2" charset="0"/>
              <a:ea typeface="+mn-ea"/>
              <a:cs typeface="Poppins" panose="00000500000000000000" pitchFamily="2" charset="0"/>
            </a:rPr>
            <a:t> )</a:t>
          </a:r>
          <a:endParaRPr lang="en-US" sz="9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8</xdr:col>
      <xdr:colOff>541340</xdr:colOff>
      <xdr:row>15</xdr:row>
      <xdr:rowOff>57150</xdr:rowOff>
    </xdr:from>
    <xdr:to>
      <xdr:col>10</xdr:col>
      <xdr:colOff>246065</xdr:colOff>
      <xdr:row>16</xdr:row>
      <xdr:rowOff>161925</xdr:rowOff>
    </xdr:to>
    <xdr:sp macro="[0]!and_" textlink="">
      <xdr:nvSpPr>
        <xdr:cNvPr id="87" name="Rounded Rectangle 86"/>
        <xdr:cNvSpPr/>
      </xdr:nvSpPr>
      <xdr:spPr>
        <a:xfrm>
          <a:off x="5418140" y="3295650"/>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And( )</a:t>
          </a:r>
        </a:p>
      </xdr:txBody>
    </xdr:sp>
    <xdr:clientData/>
  </xdr:twoCellAnchor>
  <xdr:twoCellAnchor>
    <xdr:from>
      <xdr:col>10</xdr:col>
      <xdr:colOff>361950</xdr:colOff>
      <xdr:row>15</xdr:row>
      <xdr:rowOff>57150</xdr:rowOff>
    </xdr:from>
    <xdr:to>
      <xdr:col>12</xdr:col>
      <xdr:colOff>390525</xdr:colOff>
      <xdr:row>16</xdr:row>
      <xdr:rowOff>161925</xdr:rowOff>
    </xdr:to>
    <xdr:sp macro="[0]!network_days" textlink="">
      <xdr:nvSpPr>
        <xdr:cNvPr id="88" name="Rounded Rectangle 87"/>
        <xdr:cNvSpPr/>
      </xdr:nvSpPr>
      <xdr:spPr>
        <a:xfrm>
          <a:off x="6457950" y="3295650"/>
          <a:ext cx="124777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Networkdays</a:t>
          </a:r>
          <a:r>
            <a:rPr lang="en-US" sz="1000" b="0" baseline="0">
              <a:solidFill>
                <a:schemeClr val="tx1"/>
              </a:solidFill>
              <a:latin typeface="Poppins" panose="00000500000000000000" pitchFamily="2" charset="0"/>
              <a:ea typeface="+mn-ea"/>
              <a:cs typeface="Poppins" panose="00000500000000000000" pitchFamily="2" charset="0"/>
            </a:rPr>
            <a:t>( )</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0</xdr:col>
      <xdr:colOff>219075</xdr:colOff>
      <xdr:row>23</xdr:row>
      <xdr:rowOff>157162</xdr:rowOff>
    </xdr:from>
    <xdr:to>
      <xdr:col>1</xdr:col>
      <xdr:colOff>533400</xdr:colOff>
      <xdr:row>25</xdr:row>
      <xdr:rowOff>61912</xdr:rowOff>
    </xdr:to>
    <xdr:sp macro="[0]!_xludf.sumifs" textlink="">
      <xdr:nvSpPr>
        <xdr:cNvPr id="91" name="Rounded Rectangle 90"/>
        <xdr:cNvSpPr/>
      </xdr:nvSpPr>
      <xdr:spPr>
        <a:xfrm>
          <a:off x="219075" y="4852987"/>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Sumifs( )</a:t>
          </a:r>
        </a:p>
      </xdr:txBody>
    </xdr:sp>
    <xdr:clientData/>
  </xdr:twoCellAnchor>
  <xdr:twoCellAnchor>
    <xdr:from>
      <xdr:col>2</xdr:col>
      <xdr:colOff>39688</xdr:colOff>
      <xdr:row>23</xdr:row>
      <xdr:rowOff>157162</xdr:rowOff>
    </xdr:from>
    <xdr:to>
      <xdr:col>3</xdr:col>
      <xdr:colOff>354013</xdr:colOff>
      <xdr:row>25</xdr:row>
      <xdr:rowOff>61912</xdr:rowOff>
    </xdr:to>
    <xdr:sp macro="[0]!_xludf.countifs" textlink="">
      <xdr:nvSpPr>
        <xdr:cNvPr id="92" name="Rounded Rectangle 91"/>
        <xdr:cNvSpPr/>
      </xdr:nvSpPr>
      <xdr:spPr>
        <a:xfrm>
          <a:off x="1258888" y="4852987"/>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Countifs( )</a:t>
          </a:r>
        </a:p>
      </xdr:txBody>
    </xdr:sp>
    <xdr:clientData/>
  </xdr:twoCellAnchor>
  <xdr:twoCellAnchor>
    <xdr:from>
      <xdr:col>3</xdr:col>
      <xdr:colOff>469901</xdr:colOff>
      <xdr:row>23</xdr:row>
      <xdr:rowOff>157162</xdr:rowOff>
    </xdr:from>
    <xdr:to>
      <xdr:col>5</xdr:col>
      <xdr:colOff>174626</xdr:colOff>
      <xdr:row>25</xdr:row>
      <xdr:rowOff>61912</xdr:rowOff>
    </xdr:to>
    <xdr:sp macro="[0]!sum__" textlink="">
      <xdr:nvSpPr>
        <xdr:cNvPr id="93" name="Rounded Rectangle 92"/>
        <xdr:cNvSpPr/>
      </xdr:nvSpPr>
      <xdr:spPr>
        <a:xfrm>
          <a:off x="2298701" y="4852987"/>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Sum( )</a:t>
          </a:r>
        </a:p>
      </xdr:txBody>
    </xdr:sp>
    <xdr:clientData/>
  </xdr:twoCellAnchor>
  <xdr:twoCellAnchor>
    <xdr:from>
      <xdr:col>0</xdr:col>
      <xdr:colOff>219075</xdr:colOff>
      <xdr:row>17</xdr:row>
      <xdr:rowOff>76199</xdr:rowOff>
    </xdr:from>
    <xdr:to>
      <xdr:col>1</xdr:col>
      <xdr:colOff>533400</xdr:colOff>
      <xdr:row>20</xdr:row>
      <xdr:rowOff>9525</xdr:rowOff>
    </xdr:to>
    <xdr:sp macro="" textlink="">
      <xdr:nvSpPr>
        <xdr:cNvPr id="96" name="Rounded Rectangle 95"/>
        <xdr:cNvSpPr/>
      </xdr:nvSpPr>
      <xdr:spPr>
        <a:xfrm>
          <a:off x="219075" y="3686174"/>
          <a:ext cx="923925" cy="504826"/>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Data Cleaning</a:t>
          </a:r>
        </a:p>
      </xdr:txBody>
    </xdr:sp>
    <xdr:clientData/>
  </xdr:twoCellAnchor>
  <xdr:twoCellAnchor>
    <xdr:from>
      <xdr:col>2</xdr:col>
      <xdr:colOff>39688</xdr:colOff>
      <xdr:row>17</xdr:row>
      <xdr:rowOff>76199</xdr:rowOff>
    </xdr:from>
    <xdr:to>
      <xdr:col>3</xdr:col>
      <xdr:colOff>354013</xdr:colOff>
      <xdr:row>20</xdr:row>
      <xdr:rowOff>9525</xdr:rowOff>
    </xdr:to>
    <xdr:sp macro="" textlink="">
      <xdr:nvSpPr>
        <xdr:cNvPr id="97" name="Rounded Rectangle 96"/>
        <xdr:cNvSpPr/>
      </xdr:nvSpPr>
      <xdr:spPr>
        <a:xfrm>
          <a:off x="1258888" y="3686174"/>
          <a:ext cx="923925" cy="504826"/>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Data Validation</a:t>
          </a:r>
        </a:p>
      </xdr:txBody>
    </xdr:sp>
    <xdr:clientData/>
  </xdr:twoCellAnchor>
  <xdr:twoCellAnchor>
    <xdr:from>
      <xdr:col>3</xdr:col>
      <xdr:colOff>469901</xdr:colOff>
      <xdr:row>17</xdr:row>
      <xdr:rowOff>76199</xdr:rowOff>
    </xdr:from>
    <xdr:to>
      <xdr:col>5</xdr:col>
      <xdr:colOff>174626</xdr:colOff>
      <xdr:row>20</xdr:row>
      <xdr:rowOff>9525</xdr:rowOff>
    </xdr:to>
    <xdr:sp macro="" textlink="">
      <xdr:nvSpPr>
        <xdr:cNvPr id="98" name="Rounded Rectangle 97"/>
        <xdr:cNvSpPr/>
      </xdr:nvSpPr>
      <xdr:spPr>
        <a:xfrm>
          <a:off x="2298701" y="3686174"/>
          <a:ext cx="923925" cy="504826"/>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Conditional Formatting</a:t>
          </a:r>
        </a:p>
      </xdr:txBody>
    </xdr:sp>
    <xdr:clientData/>
  </xdr:twoCellAnchor>
  <xdr:twoCellAnchor>
    <xdr:from>
      <xdr:col>5</xdr:col>
      <xdr:colOff>290514</xdr:colOff>
      <xdr:row>17</xdr:row>
      <xdr:rowOff>76199</xdr:rowOff>
    </xdr:from>
    <xdr:to>
      <xdr:col>6</xdr:col>
      <xdr:colOff>604839</xdr:colOff>
      <xdr:row>20</xdr:row>
      <xdr:rowOff>9525</xdr:rowOff>
    </xdr:to>
    <xdr:sp macro="" textlink="">
      <xdr:nvSpPr>
        <xdr:cNvPr id="99" name="Rounded Rectangle 98"/>
        <xdr:cNvSpPr/>
      </xdr:nvSpPr>
      <xdr:spPr>
        <a:xfrm>
          <a:off x="3338514" y="3686174"/>
          <a:ext cx="923925" cy="504826"/>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Macros</a:t>
          </a:r>
        </a:p>
      </xdr:txBody>
    </xdr:sp>
    <xdr:clientData/>
  </xdr:twoCellAnchor>
  <xdr:twoCellAnchor>
    <xdr:from>
      <xdr:col>7</xdr:col>
      <xdr:colOff>111127</xdr:colOff>
      <xdr:row>17</xdr:row>
      <xdr:rowOff>76199</xdr:rowOff>
    </xdr:from>
    <xdr:to>
      <xdr:col>8</xdr:col>
      <xdr:colOff>425452</xdr:colOff>
      <xdr:row>20</xdr:row>
      <xdr:rowOff>9525</xdr:rowOff>
    </xdr:to>
    <xdr:sp macro="" textlink="">
      <xdr:nvSpPr>
        <xdr:cNvPr id="100" name="Rounded Rectangle 99"/>
        <xdr:cNvSpPr/>
      </xdr:nvSpPr>
      <xdr:spPr>
        <a:xfrm>
          <a:off x="4378327" y="3686174"/>
          <a:ext cx="923925" cy="504826"/>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Slicers</a:t>
          </a:r>
        </a:p>
      </xdr:txBody>
    </xdr:sp>
    <xdr:clientData/>
  </xdr:twoCellAnchor>
  <xdr:twoCellAnchor>
    <xdr:from>
      <xdr:col>8</xdr:col>
      <xdr:colOff>541340</xdr:colOff>
      <xdr:row>17</xdr:row>
      <xdr:rowOff>76199</xdr:rowOff>
    </xdr:from>
    <xdr:to>
      <xdr:col>10</xdr:col>
      <xdr:colOff>246065</xdr:colOff>
      <xdr:row>20</xdr:row>
      <xdr:rowOff>9525</xdr:rowOff>
    </xdr:to>
    <xdr:sp macro="" textlink="">
      <xdr:nvSpPr>
        <xdr:cNvPr id="101" name="Rounded Rectangle 100"/>
        <xdr:cNvSpPr/>
      </xdr:nvSpPr>
      <xdr:spPr>
        <a:xfrm>
          <a:off x="5418140" y="3686174"/>
          <a:ext cx="923925" cy="504826"/>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Logical Functions</a:t>
          </a:r>
        </a:p>
      </xdr:txBody>
    </xdr:sp>
    <xdr:clientData/>
  </xdr:twoCellAnchor>
  <xdr:twoCellAnchor>
    <xdr:from>
      <xdr:col>10</xdr:col>
      <xdr:colOff>361950</xdr:colOff>
      <xdr:row>17</xdr:row>
      <xdr:rowOff>76199</xdr:rowOff>
    </xdr:from>
    <xdr:to>
      <xdr:col>12</xdr:col>
      <xdr:colOff>66675</xdr:colOff>
      <xdr:row>20</xdr:row>
      <xdr:rowOff>9525</xdr:rowOff>
    </xdr:to>
    <xdr:sp macro="" textlink="">
      <xdr:nvSpPr>
        <xdr:cNvPr id="102" name="Rounded Rectangle 101"/>
        <xdr:cNvSpPr/>
      </xdr:nvSpPr>
      <xdr:spPr>
        <a:xfrm>
          <a:off x="6457950" y="3686174"/>
          <a:ext cx="923925" cy="504826"/>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Lookup</a:t>
          </a:r>
          <a:r>
            <a:rPr lang="en-US" sz="900" b="1" baseline="0">
              <a:solidFill>
                <a:schemeClr val="tx1"/>
              </a:solidFill>
              <a:latin typeface="Poppins" panose="00000500000000000000" pitchFamily="2" charset="0"/>
              <a:ea typeface="+mn-ea"/>
              <a:cs typeface="Poppins" panose="00000500000000000000" pitchFamily="2" charset="0"/>
            </a:rPr>
            <a:t> Functions</a:t>
          </a:r>
          <a:endParaRPr lang="en-US" sz="900" b="1">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10</xdr:col>
      <xdr:colOff>361950</xdr:colOff>
      <xdr:row>5</xdr:row>
      <xdr:rowOff>4762</xdr:rowOff>
    </xdr:from>
    <xdr:to>
      <xdr:col>12</xdr:col>
      <xdr:colOff>66675</xdr:colOff>
      <xdr:row>6</xdr:row>
      <xdr:rowOff>100012</xdr:rowOff>
    </xdr:to>
    <xdr:sp macro="[0]!_xludf.value" textlink="">
      <xdr:nvSpPr>
        <xdr:cNvPr id="103" name="Rounded Rectangle 102"/>
        <xdr:cNvSpPr/>
      </xdr:nvSpPr>
      <xdr:spPr>
        <a:xfrm>
          <a:off x="6457950" y="1338262"/>
          <a:ext cx="923925" cy="285750"/>
        </a:xfrm>
        <a:prstGeom prst="roundRect">
          <a:avLst/>
        </a:prstGeom>
        <a:gradFill>
          <a:gsLst>
            <a:gs pos="0">
              <a:srgbClr val="6A6A6A"/>
            </a:gs>
            <a:gs pos="100000">
              <a:schemeClr val="bg1">
                <a:lumMod val="65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000" b="0">
              <a:solidFill>
                <a:schemeClr val="tx1"/>
              </a:solidFill>
              <a:latin typeface="Poppins" panose="00000500000000000000" pitchFamily="2" charset="0"/>
              <a:ea typeface="+mn-ea"/>
              <a:cs typeface="Poppins" panose="00000500000000000000" pitchFamily="2" charset="0"/>
            </a:rPr>
            <a:t>Value</a:t>
          </a:r>
          <a:r>
            <a:rPr lang="en-US" sz="1000" b="0" baseline="0">
              <a:solidFill>
                <a:schemeClr val="tx1"/>
              </a:solidFill>
              <a:latin typeface="Poppins" panose="00000500000000000000" pitchFamily="2" charset="0"/>
              <a:ea typeface="+mn-ea"/>
              <a:cs typeface="Poppins" panose="00000500000000000000" pitchFamily="2" charset="0"/>
            </a:rPr>
            <a:t>( )</a:t>
          </a:r>
          <a:endParaRPr lang="en-US" sz="1000" b="0">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8</xdr:col>
      <xdr:colOff>540013</xdr:colOff>
      <xdr:row>9</xdr:row>
      <xdr:rowOff>28574</xdr:rowOff>
    </xdr:from>
    <xdr:to>
      <xdr:col>10</xdr:col>
      <xdr:colOff>244738</xdr:colOff>
      <xdr:row>11</xdr:row>
      <xdr:rowOff>133349</xdr:rowOff>
    </xdr:to>
    <xdr:sp macro="" textlink="">
      <xdr:nvSpPr>
        <xdr:cNvPr id="104" name="Rounded Rectangle 103"/>
        <xdr:cNvSpPr/>
      </xdr:nvSpPr>
      <xdr:spPr>
        <a:xfrm>
          <a:off x="5416813" y="2124074"/>
          <a:ext cx="923925" cy="485775"/>
        </a:xfrm>
        <a:prstGeom prst="roundRect">
          <a:avLst/>
        </a:prstGeom>
        <a:gradFill>
          <a:gsLst>
            <a:gs pos="0">
              <a:schemeClr val="accent1">
                <a:lumMod val="75000"/>
              </a:schemeClr>
            </a:gs>
            <a:gs pos="100000">
              <a:schemeClr val="accent1">
                <a:lumMod val="60000"/>
                <a:lumOff val="40000"/>
              </a:schemeClr>
            </a:gs>
          </a:gsLst>
          <a:path path="circle">
            <a:fillToRect l="100000" t="100000"/>
          </a:path>
        </a:gradFill>
        <a:ln w="22225" cap="rnd" cmpd="sng">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900" b="1">
              <a:solidFill>
                <a:schemeClr val="tx1"/>
              </a:solidFill>
              <a:latin typeface="Poppins" panose="00000500000000000000" pitchFamily="2" charset="0"/>
              <a:ea typeface="+mn-ea"/>
              <a:cs typeface="Poppins" panose="00000500000000000000" pitchFamily="2" charset="0"/>
            </a:rPr>
            <a:t>Logical</a:t>
          </a:r>
          <a:r>
            <a:rPr lang="en-US" sz="900" b="1" baseline="0">
              <a:solidFill>
                <a:schemeClr val="tx1"/>
              </a:solidFill>
              <a:latin typeface="Poppins" panose="00000500000000000000" pitchFamily="2" charset="0"/>
              <a:ea typeface="+mn-ea"/>
              <a:cs typeface="Poppins" panose="00000500000000000000" pitchFamily="2" charset="0"/>
            </a:rPr>
            <a:t> Functions</a:t>
          </a:r>
          <a:endParaRPr lang="en-US" sz="900" b="1">
            <a:solidFill>
              <a:schemeClr val="tx1"/>
            </a:solidFill>
            <a:latin typeface="Poppins" panose="00000500000000000000" pitchFamily="2" charset="0"/>
            <a:ea typeface="+mn-ea"/>
            <a:cs typeface="Poppins" panose="00000500000000000000" pitchFamily="2" charset="0"/>
          </a:endParaRPr>
        </a:p>
      </xdr:txBody>
    </xdr:sp>
    <xdr:clientData/>
  </xdr:twoCellAnchor>
  <xdr:twoCellAnchor>
    <xdr:from>
      <xdr:col>0</xdr:col>
      <xdr:colOff>1</xdr:colOff>
      <xdr:row>21</xdr:row>
      <xdr:rowOff>57150</xdr:rowOff>
    </xdr:from>
    <xdr:to>
      <xdr:col>3</xdr:col>
      <xdr:colOff>419101</xdr:colOff>
      <xdr:row>22</xdr:row>
      <xdr:rowOff>161926</xdr:rowOff>
    </xdr:to>
    <xdr:sp macro="" textlink="">
      <xdr:nvSpPr>
        <xdr:cNvPr id="108" name="TextBox 107"/>
        <xdr:cNvSpPr txBox="1"/>
      </xdr:nvSpPr>
      <xdr:spPr>
        <a:xfrm>
          <a:off x="1" y="4429125"/>
          <a:ext cx="2247900" cy="238126"/>
        </a:xfrm>
        <a:prstGeom prst="rect">
          <a:avLst/>
        </a:prstGeom>
        <a:noFill/>
        <a:ln w="19050" cmpd="sng">
          <a:noFill/>
          <a:prstDash val="lgDashDot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chemeClr val="bg1">
                  <a:lumMod val="95000"/>
                </a:schemeClr>
              </a:solidFill>
              <a:latin typeface="Arial" panose="020B0604020202020204" pitchFamily="34" charset="0"/>
              <a:cs typeface="Arial" panose="020B0604020202020204" pitchFamily="34" charset="0"/>
            </a:rPr>
            <a:t>Reconciliation</a:t>
          </a:r>
          <a:r>
            <a:rPr lang="en-US" sz="1400" b="1" baseline="0">
              <a:solidFill>
                <a:schemeClr val="bg1">
                  <a:lumMod val="95000"/>
                </a:schemeClr>
              </a:solidFill>
              <a:latin typeface="Arial" panose="020B0604020202020204" pitchFamily="34" charset="0"/>
              <a:cs typeface="Arial" panose="020B0604020202020204" pitchFamily="34" charset="0"/>
            </a:rPr>
            <a:t> Analysis</a:t>
          </a:r>
          <a:endParaRPr lang="en-US" sz="1400" b="1">
            <a:solidFill>
              <a:schemeClr val="bg1">
                <a:lumMod val="95000"/>
              </a:schemeClr>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449494</xdr:colOff>
      <xdr:row>0</xdr:row>
      <xdr:rowOff>214046</xdr:rowOff>
    </xdr:from>
    <xdr:to>
      <xdr:col>10</xdr:col>
      <xdr:colOff>1027416</xdr:colOff>
      <xdr:row>1</xdr:row>
      <xdr:rowOff>139129</xdr:rowOff>
    </xdr:to>
    <xdr:sp macro="[0]!doc" textlink="">
      <xdr:nvSpPr>
        <xdr:cNvPr id="6" name="Rounded Rectangle 5"/>
        <xdr:cNvSpPr/>
      </xdr:nvSpPr>
      <xdr:spPr>
        <a:xfrm>
          <a:off x="4944438" y="214046"/>
          <a:ext cx="1337781" cy="256853"/>
        </a:xfrm>
        <a:prstGeom prst="roundRect">
          <a:avLst/>
        </a:prstGeom>
        <a:solidFill>
          <a:schemeClr val="bg1">
            <a:lumMod val="85000"/>
          </a:schemeClr>
        </a:solidFill>
        <a:ln w="28575">
          <a:solidFill>
            <a:srgbClr val="9CB4E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latin typeface="Arial" panose="020B0604020202020204" pitchFamily="34" charset="0"/>
              <a:cs typeface="Arial" panose="020B0604020202020204" pitchFamily="34" charset="0"/>
            </a:rPr>
            <a:t>Documentation</a:t>
          </a:r>
        </a:p>
      </xdr:txBody>
    </xdr:sp>
    <xdr:clientData/>
  </xdr:twoCellAnchor>
  <xdr:twoCellAnchor>
    <xdr:from>
      <xdr:col>9</xdr:col>
      <xdr:colOff>452063</xdr:colOff>
      <xdr:row>2</xdr:row>
      <xdr:rowOff>23975</xdr:rowOff>
    </xdr:from>
    <xdr:to>
      <xdr:col>10</xdr:col>
      <xdr:colOff>1029985</xdr:colOff>
      <xdr:row>3</xdr:row>
      <xdr:rowOff>88187</xdr:rowOff>
    </xdr:to>
    <xdr:sp macro="[0]!supplier_invoice" textlink="">
      <xdr:nvSpPr>
        <xdr:cNvPr id="10" name="Rounded Rectangle 9"/>
        <xdr:cNvSpPr/>
      </xdr:nvSpPr>
      <xdr:spPr>
        <a:xfrm>
          <a:off x="4947007" y="548385"/>
          <a:ext cx="1337781" cy="256853"/>
        </a:xfrm>
        <a:prstGeom prst="roundRect">
          <a:avLst/>
        </a:prstGeom>
        <a:solidFill>
          <a:schemeClr val="bg1">
            <a:lumMod val="85000"/>
          </a:schemeClr>
        </a:solidFill>
        <a:ln w="28575">
          <a:solidFill>
            <a:srgbClr val="9CB4E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latin typeface="Arial" panose="020B0604020202020204" pitchFamily="34" charset="0"/>
              <a:cs typeface="Arial" panose="020B0604020202020204" pitchFamily="34" charset="0"/>
            </a:rPr>
            <a:t>Dataset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18</xdr:col>
      <xdr:colOff>5350</xdr:colOff>
      <xdr:row>9</xdr:row>
      <xdr:rowOff>117723</xdr:rowOff>
    </xdr:from>
    <xdr:to>
      <xdr:col>19</xdr:col>
      <xdr:colOff>135276</xdr:colOff>
      <xdr:row>16</xdr:row>
      <xdr:rowOff>10701</xdr:rowOff>
    </xdr:to>
    <mc:AlternateContent xmlns:mc="http://schemas.openxmlformats.org/markup-compatibility/2006">
      <mc:Choice xmlns:sle15="http://schemas.microsoft.com/office/drawing/2012/slicer" Requires="sle15">
        <xdr:graphicFrame macro="">
          <xdr:nvGraphicFramePr>
            <xdr:cNvPr id="2" name="Location"/>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16422597" y="1990616"/>
              <a:ext cx="1178746" cy="124146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18</xdr:col>
      <xdr:colOff>5351</xdr:colOff>
      <xdr:row>2</xdr:row>
      <xdr:rowOff>112374</xdr:rowOff>
    </xdr:from>
    <xdr:to>
      <xdr:col>19</xdr:col>
      <xdr:colOff>135277</xdr:colOff>
      <xdr:row>8</xdr:row>
      <xdr:rowOff>181939</xdr:rowOff>
    </xdr:to>
    <mc:AlternateContent xmlns:mc="http://schemas.openxmlformats.org/markup-compatibility/2006">
      <mc:Choice xmlns:sle15="http://schemas.microsoft.com/office/drawing/2012/slicer" Requires="sle15">
        <xdr:graphicFrame macro="">
          <xdr:nvGraphicFramePr>
            <xdr:cNvPr id="3" name="Invoice Month"/>
            <xdr:cNvGraphicFramePr/>
          </xdr:nvGraphicFramePr>
          <xdr:xfrm>
            <a:off x="0" y="0"/>
            <a:ext cx="0" cy="0"/>
          </xdr:xfrm>
          <a:graphic>
            <a:graphicData uri="http://schemas.microsoft.com/office/drawing/2010/slicer">
              <sle:slicer xmlns:sle="http://schemas.microsoft.com/office/drawing/2010/slicer" name="Invoice Month"/>
            </a:graphicData>
          </a:graphic>
        </xdr:graphicFrame>
      </mc:Choice>
      <mc:Fallback>
        <xdr:sp macro="" textlink="">
          <xdr:nvSpPr>
            <xdr:cNvPr id="0" name=""/>
            <xdr:cNvSpPr>
              <a:spLocks noTextEdit="1"/>
            </xdr:cNvSpPr>
          </xdr:nvSpPr>
          <xdr:spPr>
            <a:xfrm>
              <a:off x="16422598" y="636784"/>
              <a:ext cx="1178746" cy="122540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4</xdr:col>
      <xdr:colOff>267555</xdr:colOff>
      <xdr:row>0</xdr:row>
      <xdr:rowOff>64215</xdr:rowOff>
    </xdr:from>
    <xdr:to>
      <xdr:col>6</xdr:col>
      <xdr:colOff>639377</xdr:colOff>
      <xdr:row>0</xdr:row>
      <xdr:rowOff>320247</xdr:rowOff>
    </xdr:to>
    <xdr:sp macro="[0]!doc" textlink="">
      <xdr:nvSpPr>
        <xdr:cNvPr id="4" name="Rounded Rectangle 3"/>
        <xdr:cNvSpPr/>
      </xdr:nvSpPr>
      <xdr:spPr>
        <a:xfrm>
          <a:off x="4345111" y="64215"/>
          <a:ext cx="1335024" cy="256032"/>
        </a:xfrm>
        <a:prstGeom prst="roundRect">
          <a:avLst/>
        </a:prstGeom>
        <a:solidFill>
          <a:schemeClr val="bg1">
            <a:lumMod val="85000"/>
          </a:schemeClr>
        </a:solidFill>
        <a:ln w="28575">
          <a:solidFill>
            <a:srgbClr val="9CB4E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latin typeface="Arial" panose="020B0604020202020204" pitchFamily="34" charset="0"/>
              <a:cs typeface="Arial" panose="020B0604020202020204" pitchFamily="34" charset="0"/>
            </a:rPr>
            <a:t>Documentation</a:t>
          </a:r>
        </a:p>
      </xdr:txBody>
    </xdr:sp>
    <xdr:clientData/>
  </xdr:twoCellAnchor>
  <xdr:twoCellAnchor>
    <xdr:from>
      <xdr:col>4</xdr:col>
      <xdr:colOff>267557</xdr:colOff>
      <xdr:row>1</xdr:row>
      <xdr:rowOff>64213</xdr:rowOff>
    </xdr:from>
    <xdr:to>
      <xdr:col>6</xdr:col>
      <xdr:colOff>642136</xdr:colOff>
      <xdr:row>2</xdr:row>
      <xdr:rowOff>128426</xdr:rowOff>
    </xdr:to>
    <xdr:sp macro="[0]!invoice_report" textlink="">
      <xdr:nvSpPr>
        <xdr:cNvPr id="5" name="Rounded Rectangle 4"/>
        <xdr:cNvSpPr/>
      </xdr:nvSpPr>
      <xdr:spPr>
        <a:xfrm>
          <a:off x="4345113" y="395983"/>
          <a:ext cx="1337781" cy="256853"/>
        </a:xfrm>
        <a:prstGeom prst="roundRect">
          <a:avLst/>
        </a:prstGeom>
        <a:solidFill>
          <a:schemeClr val="bg1">
            <a:lumMod val="85000"/>
          </a:schemeClr>
        </a:solidFill>
        <a:ln w="28575">
          <a:solidFill>
            <a:srgbClr val="9CB4E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latin typeface="Arial" panose="020B0604020202020204" pitchFamily="34" charset="0"/>
              <a:cs typeface="Arial" panose="020B0604020202020204" pitchFamily="34" charset="0"/>
            </a:rPr>
            <a:t>Dataset</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Location" sourceName="Location">
  <extLst>
    <x:ext xmlns:x15="http://schemas.microsoft.com/office/spreadsheetml/2010/11/main" uri="{2F2917AC-EB37-4324-AD4E-5DD8C200BD13}">
      <x15:tableSlicerCache tableId="2"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Invoice_Month" sourceName="Invoice Month">
  <extLst>
    <x:ext xmlns:x15="http://schemas.microsoft.com/office/spreadsheetml/2010/11/main" uri="{2F2917AC-EB37-4324-AD4E-5DD8C200BD13}">
      <x15:tableSlicerCache tableId="2"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Location" cache="Slicer_Location" caption="Location" style="SlicerStyleDark1" rowHeight="241300"/>
  <slicer name="Invoice Month" cache="Slicer_Invoice_Month" caption="Invoice Month" style="SlicerStyleDark1" rowHeight="241300"/>
</slicers>
</file>

<file path=xl/tables/table1.xml><?xml version="1.0" encoding="utf-8"?>
<table xmlns="http://schemas.openxmlformats.org/spreadsheetml/2006/main" id="3" name="tbl_Supplier" displayName="tbl_Supplier" ref="A5:T89" totalsRowShown="0" headerRowDxfId="51">
  <autoFilter ref="A5:T89"/>
  <sortState ref="A5:T88">
    <sortCondition ref="M4:M88"/>
  </sortState>
  <tableColumns count="20">
    <tableColumn id="1" name="Document No"/>
    <tableColumn id="2" name="Payment No."/>
    <tableColumn id="3" name="Paid"/>
    <tableColumn id="4" name="Invoiced"/>
    <tableColumn id="5" name="Inv/cr"/>
    <tableColumn id="6" name="Paid Amount"/>
    <tableColumn id="7" name="Customer PO"/>
    <tableColumn id="8" name="ABN"/>
    <tableColumn id="9" name="Acct"/>
    <tableColumn id="10" name="Check"/>
    <tableColumn id="11" name="Payment No">
      <calculatedColumnFormula>CONCATENATE(A6,"_",B6)</calculatedColumnFormula>
    </tableColumn>
    <tableColumn id="12" name="Bank Details">
      <calculatedColumnFormula>CONCATENATE(H6,I6,J6)</calculatedColumnFormula>
    </tableColumn>
    <tableColumn id="13" name="Inv Month">
      <calculatedColumnFormula>TEXT(D6,"mmm")</calculatedColumnFormula>
    </tableColumn>
    <tableColumn id="14" name="PO Number">
      <calculatedColumnFormula>RIGHT(G6,6)</calculatedColumnFormula>
    </tableColumn>
    <tableColumn id="15" name="Location">
      <calculatedColumnFormula>MID(G6,4,FIND("-",G6,4)-4)</calculatedColumnFormula>
    </tableColumn>
    <tableColumn id="16" name="Type">
      <calculatedColumnFormula>PROPER(CLEAN(TRIM(E6)))</calculatedColumnFormula>
    </tableColumn>
    <tableColumn id="17" name="$ Amount" dataDxfId="7">
      <calculatedColumnFormula>VALUE(SUBSTITUTE(SUBSTITUTE(F6,"S",""),MID(F6,2,1),""))*IF(tbl_Supplier[[#This Row],[Type]]="Cr",-1,1)</calculatedColumnFormula>
    </tableColumn>
    <tableColumn id="18" name="Invoice Date" dataDxfId="50">
      <calculatedColumnFormula>DATE(2020,MONTH(D6),RIGHT(D6,2))</calculatedColumnFormula>
    </tableColumn>
    <tableColumn id="19" name="Paid Date" dataDxfId="49">
      <calculatedColumnFormula>DATE(2020,4,RIGHT(C6,2))</calculatedColumnFormula>
    </tableColumn>
    <tableColumn id="20" name="Days to Pay">
      <calculatedColumnFormula>tbl_Supplier[[#This Row],[Paid Date]]-tbl_Supplier[[#This Row],[Invoice Date]]</calculatedColumnFormula>
    </tableColumn>
  </tableColumns>
  <tableStyleInfo name="Table Style 1" showFirstColumn="0" showLastColumn="0" showRowStripes="1" showColumnStripes="0"/>
</table>
</file>

<file path=xl/tables/table2.xml><?xml version="1.0" encoding="utf-8"?>
<table xmlns="http://schemas.openxmlformats.org/spreadsheetml/2006/main" id="2" name="tbl_McReport" displayName="tbl_McReport" ref="A4:Q89" headerRowDxfId="48" dataDxfId="47">
  <autoFilter ref="A4:Q89"/>
  <sortState ref="A5:O89">
    <sortCondition ref="A4:A89"/>
  </sortState>
  <tableColumns count="17">
    <tableColumn id="1" name="Payment Ref" totalsRowLabel="Total" dataDxfId="46" totalsRowDxfId="45"/>
    <tableColumn id="2" name="Supplier Code" dataDxfId="44" totalsRowDxfId="43"/>
    <tableColumn id="3" name="Payment No." totalsRowFunction="count" dataDxfId="42" totalsRowDxfId="41"/>
    <tableColumn id="4" name="Invoice Date" dataDxfId="40" totalsRowDxfId="39"/>
    <tableColumn id="5" name="Due Date" dataDxfId="38" totalsRowDxfId="37">
      <calculatedColumnFormula>WORKDAY.INTL(D5,6,"0000011")</calculatedColumnFormula>
    </tableColumn>
    <tableColumn id="6" name="WeekDay" dataDxfId="36" totalsRowDxfId="35">
      <calculatedColumnFormula>TEXT(E5,"dddd")</calculatedColumnFormula>
    </tableColumn>
    <tableColumn id="7" name="Payment Date" dataDxfId="34" totalsRowDxfId="33"/>
    <tableColumn id="9" name="PO Number" dataDxfId="32" totalsRowDxfId="31"/>
    <tableColumn id="8" name="Bank Details" dataDxfId="30" totalsRowDxfId="29"/>
    <tableColumn id="10" name="Location" dataDxfId="28" totalsRowDxfId="27"/>
    <tableColumn id="11" name="Amount" totalsRowFunction="sum" dataDxfId="26" totalsRowDxfId="25"/>
    <tableColumn id="12" name="Invoice Month" dataDxfId="24" totalsRowDxfId="23">
      <calculatedColumnFormula>TEXT(D5,"mmm")</calculatedColumnFormula>
    </tableColumn>
    <tableColumn id="13" name="Invoice Day" dataDxfId="22" totalsRowDxfId="21">
      <calculatedColumnFormula>DAY(D5)</calculatedColumnFormula>
    </tableColumn>
    <tableColumn id="16" name="Over Due" dataDxfId="20" totalsRowDxfId="19">
      <calculatedColumnFormula>IF(tbl_McReport[[#This Row],[Payment Date]]&gt;tbl_McReport[[#This Row],[Due Date]],"Yes","")</calculatedColumnFormula>
    </tableColumn>
    <tableColumn id="14" name="Over Due By" dataDxfId="8" totalsRowDxfId="18">
      <calculatedColumnFormula>IF(tbl_McReport[[#This Row],[Over Due]]="",0,NETWORKDAYS(tbl_McReport[[#This Row],[Due Date]],tbl_McReport[[#This Row],[Payment Date]],Holidays))</calculatedColumnFormula>
    </tableColumn>
    <tableColumn id="15" name="Late Charge" totalsRowFunction="average" dataDxfId="4" totalsRowDxfId="17">
      <calculatedColumnFormula>VLOOKUP(tbl_McReport[[#This Row],[Over Due By]],tbl_penalty_rate[],2)</calculatedColumnFormula>
    </tableColumn>
    <tableColumn id="17" name="Action" dataDxfId="5" totalsRowDxfId="6">
      <calculatedColumnFormula>IF(AND(tbl_McReport[[#This Row],[Over Due By]]&gt;0,tbl_McReport[[#This Row],[Amount]]&gt;=500),"Action","")</calculatedColumnFormula>
    </tableColumn>
  </tableColumns>
  <tableStyleInfo name="Table Style 1" showFirstColumn="0" showLastColumn="0" showRowStripes="1" showColumnStripes="0"/>
</table>
</file>

<file path=xl/tables/table3.xml><?xml version="1.0" encoding="utf-8"?>
<table xmlns="http://schemas.openxmlformats.org/spreadsheetml/2006/main" id="5" name="tbl_penalty_rate" displayName="tbl_penalty_rate" ref="S18:T23" totalsRowShown="0" headerRowDxfId="16" dataDxfId="15">
  <tableColumns count="2">
    <tableColumn id="1" name="New Penalties" dataDxfId="14"/>
    <tableColumn id="2" name="Amount" dataDxfId="13"/>
  </tableColumns>
  <tableStyleInfo name="TableStyleMedium1" showFirstColumn="0" showLastColumn="0" showRowStripes="1" showColumnStripes="0"/>
</table>
</file>

<file path=xl/tables/table4.xml><?xml version="1.0" encoding="utf-8"?>
<table xmlns="http://schemas.openxmlformats.org/spreadsheetml/2006/main" id="1" name="Table1" displayName="Table1" ref="A7:D10" totalsRowShown="0" headerRowDxfId="12">
  <autoFilter ref="A7:D10"/>
  <tableColumns count="4">
    <tableColumn id="1" name="Region"/>
    <tableColumn id="2" name="Number of Invoices">
      <calculatedColumnFormula>COUNTIFS(Location,A8)</calculatedColumnFormula>
    </tableColumn>
    <tableColumn id="3" name="Late Payments" dataDxfId="11">
      <calculatedColumnFormula>SUMIFS(tbl_McReport[Late Charge],Location,A8)</calculatedColumnFormula>
    </tableColumn>
    <tableColumn id="4" name="Total Paid" dataDxfId="10">
      <calculatedColumnFormula>SUMIFS(tbl_McReport[Amount],Location,A8)</calculatedColumnFormula>
    </tableColumn>
  </tableColumns>
  <tableStyleInfo name="Table Style 1" showFirstColumn="0" showLastColumn="0" showRowStripes="1" showColumnStripes="0"/>
</table>
</file>

<file path=xl/tables/table5.xml><?xml version="1.0" encoding="utf-8"?>
<table xmlns="http://schemas.openxmlformats.org/spreadsheetml/2006/main" id="4" name="Table4" displayName="Table4" ref="A3:C7" totalsRowShown="0">
  <autoFilter ref="A3:C7"/>
  <tableColumns count="3">
    <tableColumn id="1" name="Date" dataDxfId="9"/>
    <tableColumn id="2" name="Day">
      <calculatedColumnFormula>TEXT(A4,"ddd")</calculatedColumnFormula>
    </tableColumn>
    <tableColumn id="3" name="Holiday"/>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88AA93"/>
  </sheetPr>
  <dimension ref="J6:J22"/>
  <sheetViews>
    <sheetView showGridLines="0" zoomScaleNormal="100" workbookViewId="0">
      <selection activeCell="T20" sqref="T20"/>
    </sheetView>
    <sheetView tabSelected="1" topLeftCell="A9" workbookViewId="1"/>
  </sheetViews>
  <sheetFormatPr defaultRowHeight="15" x14ac:dyDescent="0.25"/>
  <cols>
    <col min="1" max="16384" width="9.140625" style="40"/>
  </cols>
  <sheetData>
    <row r="6" spans="10:10" x14ac:dyDescent="0.25">
      <c r="J6" s="40" t="s">
        <v>380</v>
      </c>
    </row>
    <row r="16" spans="10:10" ht="14.25" customHeight="1" x14ac:dyDescent="0.25"/>
    <row r="22" ht="10.5" customHeight="1"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CB4E0"/>
  </sheetPr>
  <dimension ref="A1:U89"/>
  <sheetViews>
    <sheetView tabSelected="1" zoomScale="89" zoomScaleNormal="89" workbookViewId="0">
      <selection activeCell="J12" sqref="J12"/>
    </sheetView>
    <sheetView workbookViewId="1"/>
  </sheetViews>
  <sheetFormatPr defaultRowHeight="15" x14ac:dyDescent="0.25"/>
  <cols>
    <col min="1" max="1" width="18.42578125" style="15" bestFit="1" customWidth="1"/>
    <col min="2" max="2" width="15.7109375" style="15" customWidth="1"/>
    <col min="3" max="3" width="9.85546875" style="15" customWidth="1"/>
    <col min="4" max="4" width="13.42578125" style="15" bestFit="1" customWidth="1"/>
    <col min="5" max="5" width="11.42578125" style="15" hidden="1" customWidth="1"/>
    <col min="6" max="6" width="17.5703125" style="15" hidden="1" customWidth="1"/>
    <col min="7" max="7" width="21.7109375" style="15" hidden="1" customWidth="1"/>
    <col min="8" max="8" width="10.140625" style="15" hidden="1" customWidth="1"/>
    <col min="9" max="9" width="10" style="15" bestFit="1" customWidth="1"/>
    <col min="10" max="10" width="11.42578125" style="15" bestFit="1" customWidth="1"/>
    <col min="11" max="11" width="17.140625" style="15" bestFit="1" customWidth="1"/>
    <col min="12" max="12" width="16.85546875" style="15" bestFit="1" customWidth="1"/>
    <col min="13" max="13" width="15.28515625" style="15" bestFit="1" customWidth="1"/>
    <col min="14" max="14" width="16.7109375" style="15" bestFit="1" customWidth="1"/>
    <col min="15" max="15" width="15.42578125" style="15" bestFit="1" customWidth="1"/>
    <col min="16" max="16" width="10.42578125" style="15" bestFit="1" customWidth="1"/>
    <col min="17" max="17" width="15" style="16" bestFit="1" customWidth="1"/>
    <col min="18" max="18" width="17" style="15" bestFit="1" customWidth="1"/>
    <col min="19" max="19" width="14.5703125" style="15" bestFit="1" customWidth="1"/>
    <col min="20" max="20" width="16.140625" style="15" bestFit="1" customWidth="1"/>
    <col min="21" max="21" width="9.140625" style="15"/>
    <col min="22" max="22" width="13.28515625" style="15" customWidth="1"/>
    <col min="23" max="23" width="11" style="15" bestFit="1" customWidth="1"/>
    <col min="24" max="16384" width="9.140625" style="15"/>
  </cols>
  <sheetData>
    <row r="1" spans="1:21" ht="26.25" customHeight="1" x14ac:dyDescent="0.25">
      <c r="A1" s="30" t="s">
        <v>376</v>
      </c>
    </row>
    <row r="2" spans="1:21" ht="15" customHeight="1" x14ac:dyDescent="0.25"/>
    <row r="3" spans="1:21" ht="15" customHeight="1" x14ac:dyDescent="0.25">
      <c r="A3" s="35" t="s">
        <v>361</v>
      </c>
      <c r="B3" s="23">
        <f ca="1">TODAY()</f>
        <v>45290</v>
      </c>
      <c r="L3" s="36" t="s">
        <v>373</v>
      </c>
      <c r="M3" s="37">
        <f>SUM(tbl_Supplier[$ Amount])</f>
        <v>45711.93</v>
      </c>
      <c r="O3" s="36" t="s">
        <v>379</v>
      </c>
      <c r="P3" s="38">
        <f>ROWS(tbl_Supplier[])</f>
        <v>84</v>
      </c>
    </row>
    <row r="4" spans="1:21" ht="15" customHeight="1" x14ac:dyDescent="0.25"/>
    <row r="5" spans="1:21" s="14" customFormat="1" ht="15.75" customHeight="1" x14ac:dyDescent="0.25">
      <c r="A5" s="12" t="s">
        <v>3</v>
      </c>
      <c r="B5" s="12" t="s">
        <v>5</v>
      </c>
      <c r="C5" s="12" t="s">
        <v>356</v>
      </c>
      <c r="D5" s="12" t="s">
        <v>355</v>
      </c>
      <c r="E5" s="12" t="s">
        <v>358</v>
      </c>
      <c r="F5" s="12" t="s">
        <v>342</v>
      </c>
      <c r="G5" s="12" t="s">
        <v>4</v>
      </c>
      <c r="H5" s="12" t="s">
        <v>11</v>
      </c>
      <c r="I5" s="12" t="s">
        <v>6</v>
      </c>
      <c r="J5" s="12" t="s">
        <v>9</v>
      </c>
      <c r="K5" s="12" t="s">
        <v>336</v>
      </c>
      <c r="L5" s="12" t="s">
        <v>8</v>
      </c>
      <c r="M5" s="12" t="s">
        <v>19</v>
      </c>
      <c r="N5" s="12" t="s">
        <v>21</v>
      </c>
      <c r="O5" s="12" t="s">
        <v>7</v>
      </c>
      <c r="P5" s="12" t="s">
        <v>10</v>
      </c>
      <c r="Q5" s="13" t="s">
        <v>20</v>
      </c>
      <c r="R5" s="12" t="s">
        <v>0</v>
      </c>
      <c r="S5" s="12" t="s">
        <v>360</v>
      </c>
      <c r="T5" s="12" t="s">
        <v>374</v>
      </c>
      <c r="U5" s="12"/>
    </row>
    <row r="6" spans="1:21" x14ac:dyDescent="0.25">
      <c r="A6">
        <v>24673</v>
      </c>
      <c r="B6">
        <v>1</v>
      </c>
      <c r="C6" t="s">
        <v>22</v>
      </c>
      <c r="D6" t="s">
        <v>35</v>
      </c>
      <c r="E6" t="s">
        <v>13</v>
      </c>
      <c r="F6" t="s">
        <v>75</v>
      </c>
      <c r="G6" t="s">
        <v>76</v>
      </c>
      <c r="H6">
        <v>2554</v>
      </c>
      <c r="I6">
        <v>4551221</v>
      </c>
      <c r="J6">
        <v>33</v>
      </c>
      <c r="K6" t="str">
        <f>CONCATENATE(A6,"_",B6)</f>
        <v>24673_1</v>
      </c>
      <c r="L6" t="str">
        <f>CONCATENATE(H6,I6,J6)</f>
        <v>2554455122133</v>
      </c>
      <c r="M6" t="str">
        <f>TEXT(D6,"mmm")</f>
        <v>Apr</v>
      </c>
      <c r="N6" t="str">
        <f>RIGHT(G6,6)</f>
        <v>327600</v>
      </c>
      <c r="O6" t="str">
        <f>MID(G6,4,FIND("-",G6,4)-4)</f>
        <v>Melbourne</v>
      </c>
      <c r="P6" t="str">
        <f>PROPER(CLEAN(TRIM(E6)))</f>
        <v>Inv</v>
      </c>
      <c r="Q6">
        <f>VALUE(SUBSTITUTE(SUBSTITUTE(F6,"S",""),MID(F6,2,1),""))*IF(tbl_Supplier[[#This Row],[Type]]="Cr",-1,1)</f>
        <v>1021.02</v>
      </c>
      <c r="R6" s="29">
        <f>DATE(2020,MONTH(D6),RIGHT(D6,2))</f>
        <v>43922</v>
      </c>
      <c r="S6" s="29">
        <f>DATE(2020,4,RIGHT(C6,2))</f>
        <v>43941</v>
      </c>
      <c r="T6">
        <f>tbl_Supplier[[#This Row],[Paid Date]]-tbl_Supplier[[#This Row],[Invoice Date]]</f>
        <v>19</v>
      </c>
    </row>
    <row r="7" spans="1:21" x14ac:dyDescent="0.25">
      <c r="A7">
        <v>24679</v>
      </c>
      <c r="B7">
        <v>1</v>
      </c>
      <c r="C7" t="s">
        <v>83</v>
      </c>
      <c r="D7" t="s">
        <v>49</v>
      </c>
      <c r="E7" t="s">
        <v>13</v>
      </c>
      <c r="F7" t="s">
        <v>84</v>
      </c>
      <c r="G7" t="s">
        <v>85</v>
      </c>
      <c r="H7">
        <v>2554</v>
      </c>
      <c r="I7">
        <v>4551221</v>
      </c>
      <c r="J7">
        <v>33</v>
      </c>
      <c r="K7" t="str">
        <f>CONCATENATE(A7,"_",B7)</f>
        <v>24679_1</v>
      </c>
      <c r="L7" t="str">
        <f>CONCATENATE(H7,I7,J7)</f>
        <v>2554455122133</v>
      </c>
      <c r="M7" t="str">
        <f>TEXT(D7,"mmm")</f>
        <v>Apr</v>
      </c>
      <c r="N7" t="str">
        <f>RIGHT(G7,6)</f>
        <v>334724</v>
      </c>
      <c r="O7" t="str">
        <f>MID(G7,4,FIND("-",G7,4)-4)</f>
        <v>Melbourne</v>
      </c>
      <c r="P7" t="str">
        <f>PROPER(CLEAN(TRIM(E7)))</f>
        <v>Inv</v>
      </c>
      <c r="Q7">
        <f>VALUE(SUBSTITUTE(SUBSTITUTE(F7,"S",""),MID(F7,2,1),""))*IF(tbl_Supplier[[#This Row],[Type]]="Cr",-1,1)</f>
        <v>114.18</v>
      </c>
      <c r="R7" s="29">
        <f>DATE(2020,MONTH(D7),RIGHT(D7,2))</f>
        <v>43930</v>
      </c>
      <c r="S7" s="29">
        <f>DATE(2020,4,RIGHT(C7,2))</f>
        <v>43951</v>
      </c>
      <c r="T7">
        <f>tbl_Supplier[[#This Row],[Paid Date]]-tbl_Supplier[[#This Row],[Invoice Date]]</f>
        <v>21</v>
      </c>
    </row>
    <row r="8" spans="1:21" x14ac:dyDescent="0.25">
      <c r="A8">
        <v>24698</v>
      </c>
      <c r="B8">
        <v>1</v>
      </c>
      <c r="C8" t="s">
        <v>54</v>
      </c>
      <c r="D8" t="s">
        <v>49</v>
      </c>
      <c r="E8" t="s">
        <v>13</v>
      </c>
      <c r="F8" t="s">
        <v>102</v>
      </c>
      <c r="G8" t="s">
        <v>103</v>
      </c>
      <c r="H8">
        <v>2554</v>
      </c>
      <c r="I8">
        <v>4551221</v>
      </c>
      <c r="J8">
        <v>33</v>
      </c>
      <c r="K8" t="str">
        <f>CONCATENATE(A8,"_",B8)</f>
        <v>24698_1</v>
      </c>
      <c r="L8" t="str">
        <f>CONCATENATE(H8,I8,J8)</f>
        <v>2554455122133</v>
      </c>
      <c r="M8" t="str">
        <f>TEXT(D8,"mmm")</f>
        <v>Apr</v>
      </c>
      <c r="N8" t="str">
        <f>RIGHT(G8,6)</f>
        <v>327342</v>
      </c>
      <c r="O8" t="str">
        <f>MID(G8,4,FIND("-",G8,4)-4)</f>
        <v>Melbourne</v>
      </c>
      <c r="P8" t="str">
        <f>PROPER(CLEAN(TRIM(E8)))</f>
        <v>Inv</v>
      </c>
      <c r="Q8">
        <f>VALUE(SUBSTITUTE(SUBSTITUTE(F8,"S",""),MID(F8,2,1),""))*IF(tbl_Supplier[[#This Row],[Type]]="Cr",-1,1)</f>
        <v>393.36</v>
      </c>
      <c r="R8" s="29">
        <f>DATE(2020,MONTH(D8),RIGHT(D8,2))</f>
        <v>43930</v>
      </c>
      <c r="S8" s="29">
        <f>DATE(2020,4,RIGHT(C8,2))</f>
        <v>43949</v>
      </c>
      <c r="T8">
        <f>tbl_Supplier[[#This Row],[Paid Date]]-tbl_Supplier[[#This Row],[Invoice Date]]</f>
        <v>19</v>
      </c>
    </row>
    <row r="9" spans="1:21" x14ac:dyDescent="0.25">
      <c r="A9">
        <v>24727</v>
      </c>
      <c r="B9">
        <v>1</v>
      </c>
      <c r="C9" t="s">
        <v>83</v>
      </c>
      <c r="D9" t="s">
        <v>53</v>
      </c>
      <c r="E9" t="s">
        <v>13</v>
      </c>
      <c r="F9" t="s">
        <v>117</v>
      </c>
      <c r="G9" t="s">
        <v>118</v>
      </c>
      <c r="H9">
        <v>2554</v>
      </c>
      <c r="I9">
        <v>4551221</v>
      </c>
      <c r="J9">
        <v>33</v>
      </c>
      <c r="K9" t="str">
        <f>CONCATENATE(A9,"_",B9)</f>
        <v>24727_1</v>
      </c>
      <c r="L9" t="str">
        <f>CONCATENATE(H9,I9,J9)</f>
        <v>2554455122133</v>
      </c>
      <c r="M9" t="str">
        <f>TEXT(D9,"mmm")</f>
        <v>Apr</v>
      </c>
      <c r="N9" t="str">
        <f>RIGHT(G9,6)</f>
        <v>316479</v>
      </c>
      <c r="O9" t="str">
        <f>MID(G9,4,FIND("-",G9,4)-4)</f>
        <v>Melbourne</v>
      </c>
      <c r="P9" t="str">
        <f>PROPER(CLEAN(TRIM(E9)))</f>
        <v>Inv</v>
      </c>
      <c r="Q9">
        <f>VALUE(SUBSTITUTE(SUBSTITUTE(F9,"S",""),MID(F9,2,1),""))*IF(tbl_Supplier[[#This Row],[Type]]="Cr",-1,1)</f>
        <v>1047.75</v>
      </c>
      <c r="R9" s="29">
        <f>DATE(2020,MONTH(D9),RIGHT(D9,2))</f>
        <v>43929</v>
      </c>
      <c r="S9" s="29">
        <f>DATE(2020,4,RIGHT(C9,2))</f>
        <v>43951</v>
      </c>
      <c r="T9">
        <f>tbl_Supplier[[#This Row],[Paid Date]]-tbl_Supplier[[#This Row],[Invoice Date]]</f>
        <v>22</v>
      </c>
    </row>
    <row r="10" spans="1:21" x14ac:dyDescent="0.25">
      <c r="A10">
        <v>24757</v>
      </c>
      <c r="B10">
        <v>1</v>
      </c>
      <c r="C10" t="s">
        <v>22</v>
      </c>
      <c r="D10" t="s">
        <v>26</v>
      </c>
      <c r="E10" t="s">
        <v>13</v>
      </c>
      <c r="F10" t="s">
        <v>143</v>
      </c>
      <c r="G10" t="s">
        <v>144</v>
      </c>
      <c r="H10">
        <v>2554</v>
      </c>
      <c r="I10">
        <v>4551221</v>
      </c>
      <c r="J10">
        <v>33</v>
      </c>
      <c r="K10" t="str">
        <f>CONCATENATE(A10,"_",B10)</f>
        <v>24757_1</v>
      </c>
      <c r="L10" t="str">
        <f>CONCATENATE(H10,I10,J10)</f>
        <v>2554455122133</v>
      </c>
      <c r="M10" t="str">
        <f>TEXT(D10,"mmm")</f>
        <v>Apr</v>
      </c>
      <c r="N10" t="str">
        <f>RIGHT(G10,6)</f>
        <v>332725</v>
      </c>
      <c r="O10" t="str">
        <f>MID(G10,4,FIND("-",G10,4)-4)</f>
        <v>Melbourne</v>
      </c>
      <c r="P10" t="str">
        <f>PROPER(CLEAN(TRIM(E10)))</f>
        <v>Inv</v>
      </c>
      <c r="Q10">
        <f>VALUE(SUBSTITUTE(SUBSTITUTE(F10,"S",""),MID(F10,2,1),""))*IF(tbl_Supplier[[#This Row],[Type]]="Cr",-1,1)</f>
        <v>549.12</v>
      </c>
      <c r="R10" s="29">
        <f>DATE(2020,MONTH(D10),RIGHT(D10,2))</f>
        <v>43936</v>
      </c>
      <c r="S10" s="29">
        <f>DATE(2020,4,RIGHT(C10,2))</f>
        <v>43941</v>
      </c>
      <c r="T10">
        <f>tbl_Supplier[[#This Row],[Paid Date]]-tbl_Supplier[[#This Row],[Invoice Date]]</f>
        <v>5</v>
      </c>
    </row>
    <row r="11" spans="1:21" x14ac:dyDescent="0.25">
      <c r="A11">
        <v>24760</v>
      </c>
      <c r="B11">
        <v>1</v>
      </c>
      <c r="C11" t="s">
        <v>64</v>
      </c>
      <c r="D11" t="s">
        <v>46</v>
      </c>
      <c r="E11" t="s">
        <v>13</v>
      </c>
      <c r="F11" t="s">
        <v>149</v>
      </c>
      <c r="G11" t="s">
        <v>150</v>
      </c>
      <c r="H11">
        <v>2554</v>
      </c>
      <c r="I11">
        <v>4551221</v>
      </c>
      <c r="J11">
        <v>33</v>
      </c>
      <c r="K11" t="str">
        <f>CONCATENATE(A11,"_",B11)</f>
        <v>24760_1</v>
      </c>
      <c r="L11" t="str">
        <f>CONCATENATE(H11,I11,J11)</f>
        <v>2554455122133</v>
      </c>
      <c r="M11" t="str">
        <f>TEXT(D11,"mmm")</f>
        <v>Apr</v>
      </c>
      <c r="N11" t="str">
        <f>RIGHT(G11,6)</f>
        <v>338595</v>
      </c>
      <c r="O11" t="str">
        <f>MID(G11,4,FIND("-",G11,4)-4)</f>
        <v>Melbourne</v>
      </c>
      <c r="P11" t="str">
        <f>PROPER(CLEAN(TRIM(E11)))</f>
        <v>Inv</v>
      </c>
      <c r="Q11">
        <f>VALUE(SUBSTITUTE(SUBSTITUTE(F11,"S",""),MID(F11,2,1),""))*IF(tbl_Supplier[[#This Row],[Type]]="Cr",-1,1)</f>
        <v>113.19</v>
      </c>
      <c r="R11" s="29">
        <f>DATE(2020,MONTH(D11),RIGHT(D11,2))</f>
        <v>43923</v>
      </c>
      <c r="S11" s="29">
        <f>DATE(2020,4,RIGHT(C11,2))</f>
        <v>43944</v>
      </c>
      <c r="T11">
        <f>tbl_Supplier[[#This Row],[Paid Date]]-tbl_Supplier[[#This Row],[Invoice Date]]</f>
        <v>21</v>
      </c>
    </row>
    <row r="12" spans="1:21" x14ac:dyDescent="0.25">
      <c r="A12">
        <v>24761</v>
      </c>
      <c r="B12">
        <v>1</v>
      </c>
      <c r="C12" t="s">
        <v>54</v>
      </c>
      <c r="D12" t="s">
        <v>22</v>
      </c>
      <c r="E12" t="s">
        <v>13</v>
      </c>
      <c r="F12" t="s">
        <v>151</v>
      </c>
      <c r="G12" t="s">
        <v>152</v>
      </c>
      <c r="H12">
        <v>2554</v>
      </c>
      <c r="I12">
        <v>4551221</v>
      </c>
      <c r="J12">
        <v>33</v>
      </c>
      <c r="K12" t="str">
        <f>CONCATENATE(A12,"_",B12)</f>
        <v>24761_1</v>
      </c>
      <c r="L12" t="str">
        <f>CONCATENATE(H12,I12,J12)</f>
        <v>2554455122133</v>
      </c>
      <c r="M12" t="str">
        <f>TEXT(D12,"mmm")</f>
        <v>Apr</v>
      </c>
      <c r="N12" t="str">
        <f>RIGHT(G12,6)</f>
        <v>325149</v>
      </c>
      <c r="O12" t="str">
        <f>MID(G12,4,FIND("-",G12,4)-4)</f>
        <v>Melbourne</v>
      </c>
      <c r="P12" t="str">
        <f>PROPER(CLEAN(TRIM(E12)))</f>
        <v>Inv</v>
      </c>
      <c r="Q12">
        <f>VALUE(SUBSTITUTE(SUBSTITUTE(F12,"S",""),MID(F12,2,1),""))*IF(tbl_Supplier[[#This Row],[Type]]="Cr",-1,1)</f>
        <v>449.13</v>
      </c>
      <c r="R12" s="29">
        <f>DATE(2020,MONTH(D12),RIGHT(D12,2))</f>
        <v>43941</v>
      </c>
      <c r="S12" s="29">
        <f>DATE(2020,4,RIGHT(C12,2))</f>
        <v>43949</v>
      </c>
      <c r="T12">
        <f>tbl_Supplier[[#This Row],[Paid Date]]-tbl_Supplier[[#This Row],[Invoice Date]]</f>
        <v>8</v>
      </c>
    </row>
    <row r="13" spans="1:21" x14ac:dyDescent="0.25">
      <c r="A13">
        <v>24830</v>
      </c>
      <c r="B13">
        <v>1</v>
      </c>
      <c r="C13" t="s">
        <v>83</v>
      </c>
      <c r="D13" t="s">
        <v>33</v>
      </c>
      <c r="E13" t="s">
        <v>13</v>
      </c>
      <c r="F13" t="s">
        <v>195</v>
      </c>
      <c r="G13" t="s">
        <v>196</v>
      </c>
      <c r="H13">
        <v>2554</v>
      </c>
      <c r="I13">
        <v>4551221</v>
      </c>
      <c r="J13">
        <v>33</v>
      </c>
      <c r="K13" t="str">
        <f>CONCATENATE(A13,"_",B13)</f>
        <v>24830_1</v>
      </c>
      <c r="L13" t="str">
        <f>CONCATENATE(H13,I13,J13)</f>
        <v>2554455122133</v>
      </c>
      <c r="M13" t="str">
        <f>TEXT(D13,"mmm")</f>
        <v>Apr</v>
      </c>
      <c r="N13" t="str">
        <f>RIGHT(G13,6)</f>
        <v>317142</v>
      </c>
      <c r="O13" t="str">
        <f>MID(G13,4,FIND("-",G13,4)-4)</f>
        <v>Melbourne</v>
      </c>
      <c r="P13" t="str">
        <f>PROPER(CLEAN(TRIM(E13)))</f>
        <v>Inv</v>
      </c>
      <c r="Q13">
        <f>VALUE(SUBSTITUTE(SUBSTITUTE(F13,"S",""),MID(F13,2,1),""))*IF(tbl_Supplier[[#This Row],[Type]]="Cr",-1,1)</f>
        <v>132.66</v>
      </c>
      <c r="R13" s="29">
        <f>DATE(2020,MONTH(D13),RIGHT(D13,2))</f>
        <v>43927</v>
      </c>
      <c r="S13" s="29">
        <f>DATE(2020,4,RIGHT(C13,2))</f>
        <v>43951</v>
      </c>
      <c r="T13">
        <f>tbl_Supplier[[#This Row],[Paid Date]]-tbl_Supplier[[#This Row],[Invoice Date]]</f>
        <v>24</v>
      </c>
    </row>
    <row r="14" spans="1:21" x14ac:dyDescent="0.25">
      <c r="A14">
        <v>24838</v>
      </c>
      <c r="B14">
        <v>1</v>
      </c>
      <c r="C14" t="s">
        <v>89</v>
      </c>
      <c r="D14" t="s">
        <v>51</v>
      </c>
      <c r="E14" t="s">
        <v>13</v>
      </c>
      <c r="F14" t="s">
        <v>203</v>
      </c>
      <c r="G14" t="s">
        <v>204</v>
      </c>
      <c r="H14">
        <v>2554</v>
      </c>
      <c r="I14">
        <v>4551221</v>
      </c>
      <c r="J14">
        <v>33</v>
      </c>
      <c r="K14" t="str">
        <f>CONCATENATE(A14,"_",B14)</f>
        <v>24838_1</v>
      </c>
      <c r="L14" t="str">
        <f>CONCATENATE(H14,I14,J14)</f>
        <v>2554455122133</v>
      </c>
      <c r="M14" t="str">
        <f>TEXT(D14,"mmm")</f>
        <v>Apr</v>
      </c>
      <c r="N14" t="str">
        <f>RIGHT(G14,6)</f>
        <v>328536</v>
      </c>
      <c r="O14" t="str">
        <f>MID(G14,4,FIND("-",G14,4)-4)</f>
        <v>Melbourne</v>
      </c>
      <c r="P14" t="str">
        <f>PROPER(CLEAN(TRIM(E14)))</f>
        <v>Inv</v>
      </c>
      <c r="Q14">
        <f>VALUE(SUBSTITUTE(SUBSTITUTE(F14,"S",""),MID(F14,2,1),""))*IF(tbl_Supplier[[#This Row],[Type]]="Cr",-1,1)</f>
        <v>668.25</v>
      </c>
      <c r="R14" s="29">
        <f>DATE(2020,MONTH(D14),RIGHT(D14,2))</f>
        <v>43932</v>
      </c>
      <c r="S14" s="29">
        <f>DATE(2020,4,RIGHT(C14,2))</f>
        <v>43948</v>
      </c>
      <c r="T14">
        <f>tbl_Supplier[[#This Row],[Paid Date]]-tbl_Supplier[[#This Row],[Invoice Date]]</f>
        <v>16</v>
      </c>
    </row>
    <row r="15" spans="1:21" x14ac:dyDescent="0.25">
      <c r="A15">
        <v>24857</v>
      </c>
      <c r="B15">
        <v>1</v>
      </c>
      <c r="C15" t="s">
        <v>37</v>
      </c>
      <c r="D15" t="s">
        <v>45</v>
      </c>
      <c r="E15" t="s">
        <v>13</v>
      </c>
      <c r="F15" t="s">
        <v>212</v>
      </c>
      <c r="G15" t="s">
        <v>213</v>
      </c>
      <c r="H15">
        <v>2554</v>
      </c>
      <c r="I15">
        <v>4551221</v>
      </c>
      <c r="J15">
        <v>33</v>
      </c>
      <c r="K15" t="str">
        <f>CONCATENATE(A15,"_",B15)</f>
        <v>24857_1</v>
      </c>
      <c r="L15" t="str">
        <f>CONCATENATE(H15,I15,J15)</f>
        <v>2554455122133</v>
      </c>
      <c r="M15" t="str">
        <f>TEXT(D15,"mmm")</f>
        <v>Apr</v>
      </c>
      <c r="N15" t="str">
        <f>RIGHT(G15,6)</f>
        <v>321358</v>
      </c>
      <c r="O15" t="str">
        <f>MID(G15,4,FIND("-",G15,4)-4)</f>
        <v>Melbourne</v>
      </c>
      <c r="P15" t="str">
        <f>PROPER(CLEAN(TRIM(E15)))</f>
        <v>Inv</v>
      </c>
      <c r="Q15">
        <f>VALUE(SUBSTITUTE(SUBSTITUTE(F15,"S",""),MID(F15,2,1),""))*IF(tbl_Supplier[[#This Row],[Type]]="Cr",-1,1)</f>
        <v>242.22</v>
      </c>
      <c r="R15" s="29">
        <f>DATE(2020,MONTH(D15),RIGHT(D15,2))</f>
        <v>43933</v>
      </c>
      <c r="S15" s="29">
        <f>DATE(2020,4,RIGHT(C15,2))</f>
        <v>43940</v>
      </c>
      <c r="T15">
        <f>tbl_Supplier[[#This Row],[Paid Date]]-tbl_Supplier[[#This Row],[Invoice Date]]</f>
        <v>7</v>
      </c>
    </row>
    <row r="16" spans="1:21" x14ac:dyDescent="0.25">
      <c r="A16">
        <v>24878</v>
      </c>
      <c r="B16">
        <v>1</v>
      </c>
      <c r="C16" t="s">
        <v>56</v>
      </c>
      <c r="D16" t="s">
        <v>24</v>
      </c>
      <c r="E16" t="s">
        <v>13</v>
      </c>
      <c r="F16" t="s">
        <v>230</v>
      </c>
      <c r="G16" t="s">
        <v>231</v>
      </c>
      <c r="H16">
        <v>2554</v>
      </c>
      <c r="I16">
        <v>4551221</v>
      </c>
      <c r="J16">
        <v>33</v>
      </c>
      <c r="K16" t="str">
        <f>CONCATENATE(A16,"_",B16)</f>
        <v>24878_1</v>
      </c>
      <c r="L16" t="str">
        <f>CONCATENATE(H16,I16,J16)</f>
        <v>2554455122133</v>
      </c>
      <c r="M16" t="str">
        <f>TEXT(D16,"mmm")</f>
        <v>Apr</v>
      </c>
      <c r="N16" t="str">
        <f>RIGHT(G16,6)</f>
        <v>312800</v>
      </c>
      <c r="O16" t="str">
        <f>MID(G16,4,FIND("-",G16,4)-4)</f>
        <v>Melbourne</v>
      </c>
      <c r="P16" t="str">
        <f>PROPER(CLEAN(TRIM(E16)))</f>
        <v>Inv</v>
      </c>
      <c r="Q16">
        <f>VALUE(SUBSTITUTE(SUBSTITUTE(F16,"S",""),MID(F16,2,1),""))*IF(tbl_Supplier[[#This Row],[Type]]="Cr",-1,1)</f>
        <v>809.49</v>
      </c>
      <c r="R16" s="29">
        <f>DATE(2020,MONTH(D16),RIGHT(D16,2))</f>
        <v>43934</v>
      </c>
      <c r="S16" s="29">
        <f>DATE(2020,4,RIGHT(C16,2))</f>
        <v>43943</v>
      </c>
      <c r="T16">
        <f>tbl_Supplier[[#This Row],[Paid Date]]-tbl_Supplier[[#This Row],[Invoice Date]]</f>
        <v>9</v>
      </c>
    </row>
    <row r="17" spans="1:20" x14ac:dyDescent="0.25">
      <c r="A17">
        <v>24690</v>
      </c>
      <c r="B17">
        <v>1</v>
      </c>
      <c r="C17" t="s">
        <v>64</v>
      </c>
      <c r="D17" t="s">
        <v>32</v>
      </c>
      <c r="E17" t="s">
        <v>13</v>
      </c>
      <c r="F17" t="s">
        <v>95</v>
      </c>
      <c r="G17" t="s">
        <v>96</v>
      </c>
      <c r="H17">
        <v>1641</v>
      </c>
      <c r="I17">
        <v>7654320</v>
      </c>
      <c r="J17">
        <v>72</v>
      </c>
      <c r="K17" t="str">
        <f>CONCATENATE(A17,"_",B17)</f>
        <v>24690_1</v>
      </c>
      <c r="L17" t="str">
        <f>CONCATENATE(H17,I17,J17)</f>
        <v>1641765432072</v>
      </c>
      <c r="M17" t="str">
        <f>TEXT(D17,"mmm")</f>
        <v>Apr</v>
      </c>
      <c r="N17" t="str">
        <f>RIGHT(G17,6)</f>
        <v>232805</v>
      </c>
      <c r="O17" t="str">
        <f>MID(G17,4,FIND("-",G17,4)-4)</f>
        <v>Sydney</v>
      </c>
      <c r="P17" t="str">
        <f>PROPER(CLEAN(TRIM(E17)))</f>
        <v>Inv</v>
      </c>
      <c r="Q17">
        <f>VALUE(SUBSTITUTE(SUBSTITUTE(F17,"S",""),MID(F17,2,1),""))*IF(tbl_Supplier[[#This Row],[Type]]="Cr",-1,1)</f>
        <v>171.93</v>
      </c>
      <c r="R17" s="29">
        <f>DATE(2020,MONTH(D17),RIGHT(D17,2))</f>
        <v>43925</v>
      </c>
      <c r="S17" s="29">
        <f>DATE(2020,4,RIGHT(C17,2))</f>
        <v>43944</v>
      </c>
      <c r="T17">
        <f>tbl_Supplier[[#This Row],[Paid Date]]-tbl_Supplier[[#This Row],[Invoice Date]]</f>
        <v>19</v>
      </c>
    </row>
    <row r="18" spans="1:20" x14ac:dyDescent="0.25">
      <c r="A18">
        <v>24735</v>
      </c>
      <c r="B18">
        <v>2</v>
      </c>
      <c r="C18" t="s">
        <v>54</v>
      </c>
      <c r="D18" t="s">
        <v>42</v>
      </c>
      <c r="E18" t="s">
        <v>13</v>
      </c>
      <c r="F18" t="s">
        <v>124</v>
      </c>
      <c r="G18" t="s">
        <v>125</v>
      </c>
      <c r="H18">
        <v>1641</v>
      </c>
      <c r="I18">
        <v>7654320</v>
      </c>
      <c r="J18">
        <v>72</v>
      </c>
      <c r="K18" t="str">
        <f>CONCATENATE(A18,"_",B18)</f>
        <v>24735_2</v>
      </c>
      <c r="L18" t="str">
        <f>CONCATENATE(H18,I18,J18)</f>
        <v>1641765432072</v>
      </c>
      <c r="M18" t="str">
        <f>TEXT(D18,"mmm")</f>
        <v>Apr</v>
      </c>
      <c r="N18" t="str">
        <f>RIGHT(G18,6)</f>
        <v>238023</v>
      </c>
      <c r="O18" t="str">
        <f>MID(G18,4,FIND("-",G18,4)-4)</f>
        <v>Sydney</v>
      </c>
      <c r="P18" t="str">
        <f>PROPER(CLEAN(TRIM(E18)))</f>
        <v>Inv</v>
      </c>
      <c r="Q18">
        <f>VALUE(SUBSTITUTE(SUBSTITUTE(F18,"S",""),MID(F18,2,1),""))*IF(tbl_Supplier[[#This Row],[Type]]="Cr",-1,1)</f>
        <v>215.49</v>
      </c>
      <c r="R18" s="29">
        <f>DATE(2020,MONTH(D18),RIGHT(D18,2))</f>
        <v>43945</v>
      </c>
      <c r="S18" s="29">
        <f>DATE(2020,4,RIGHT(C18,2))</f>
        <v>43949</v>
      </c>
      <c r="T18">
        <f>tbl_Supplier[[#This Row],[Paid Date]]-tbl_Supplier[[#This Row],[Invoice Date]]</f>
        <v>4</v>
      </c>
    </row>
    <row r="19" spans="1:20" x14ac:dyDescent="0.25">
      <c r="A19">
        <v>24739</v>
      </c>
      <c r="B19">
        <v>1</v>
      </c>
      <c r="C19" t="s">
        <v>42</v>
      </c>
      <c r="D19" t="s">
        <v>28</v>
      </c>
      <c r="E19" t="s">
        <v>13</v>
      </c>
      <c r="F19" t="s">
        <v>126</v>
      </c>
      <c r="G19" t="s">
        <v>127</v>
      </c>
      <c r="H19">
        <v>1641</v>
      </c>
      <c r="I19">
        <v>7654320</v>
      </c>
      <c r="J19">
        <v>72</v>
      </c>
      <c r="K19" t="str">
        <f>CONCATENATE(A19,"_",B19)</f>
        <v>24739_1</v>
      </c>
      <c r="L19" t="str">
        <f>CONCATENATE(H19,I19,J19)</f>
        <v>1641765432072</v>
      </c>
      <c r="M19" t="str">
        <f>TEXT(D19,"mmm")</f>
        <v>Apr</v>
      </c>
      <c r="N19" t="str">
        <f>RIGHT(G19,6)</f>
        <v>224184</v>
      </c>
      <c r="O19" t="str">
        <f>MID(G19,4,FIND("-",G19,4)-4)</f>
        <v>Sydney</v>
      </c>
      <c r="P19" t="str">
        <f>PROPER(CLEAN(TRIM(E19)))</f>
        <v>Inv</v>
      </c>
      <c r="Q19">
        <f>VALUE(SUBSTITUTE(SUBSTITUTE(F19,"S",""),MID(F19,2,1),""))*IF(tbl_Supplier[[#This Row],[Type]]="Cr",-1,1)</f>
        <v>455.07</v>
      </c>
      <c r="R19" s="29">
        <f>DATE(2020,MONTH(D19),RIGHT(D19,2))</f>
        <v>43926</v>
      </c>
      <c r="S19" s="29">
        <f>DATE(2020,4,RIGHT(C19,2))</f>
        <v>43945</v>
      </c>
      <c r="T19">
        <f>tbl_Supplier[[#This Row],[Paid Date]]-tbl_Supplier[[#This Row],[Invoice Date]]</f>
        <v>19</v>
      </c>
    </row>
    <row r="20" spans="1:20" x14ac:dyDescent="0.25">
      <c r="A20">
        <v>24740</v>
      </c>
      <c r="B20">
        <v>1</v>
      </c>
      <c r="C20" t="s">
        <v>49</v>
      </c>
      <c r="D20" t="s">
        <v>46</v>
      </c>
      <c r="E20" t="s">
        <v>13</v>
      </c>
      <c r="F20" t="s">
        <v>128</v>
      </c>
      <c r="G20" t="s">
        <v>129</v>
      </c>
      <c r="H20">
        <v>1641</v>
      </c>
      <c r="I20">
        <v>7654320</v>
      </c>
      <c r="J20">
        <v>72</v>
      </c>
      <c r="K20" t="str">
        <f>CONCATENATE(A20,"_",B20)</f>
        <v>24740_1</v>
      </c>
      <c r="L20" t="str">
        <f>CONCATENATE(H20,I20,J20)</f>
        <v>1641765432072</v>
      </c>
      <c r="M20" t="str">
        <f>TEXT(D20,"mmm")</f>
        <v>Apr</v>
      </c>
      <c r="N20" t="str">
        <f>RIGHT(G20,6)</f>
        <v>216205</v>
      </c>
      <c r="O20" t="str">
        <f>MID(G20,4,FIND("-",G20,4)-4)</f>
        <v>Sydney</v>
      </c>
      <c r="P20" t="str">
        <f>PROPER(CLEAN(TRIM(E20)))</f>
        <v>Inv</v>
      </c>
      <c r="Q20">
        <f>VALUE(SUBSTITUTE(SUBSTITUTE(F20,"S",""),MID(F20,2,1),""))*IF(tbl_Supplier[[#This Row],[Type]]="Cr",-1,1)</f>
        <v>711.81</v>
      </c>
      <c r="R20" s="29">
        <f>DATE(2020,MONTH(D20),RIGHT(D20,2))</f>
        <v>43923</v>
      </c>
      <c r="S20" s="29">
        <f>DATE(2020,4,RIGHT(C20,2))</f>
        <v>43930</v>
      </c>
      <c r="T20">
        <f>tbl_Supplier[[#This Row],[Paid Date]]-tbl_Supplier[[#This Row],[Invoice Date]]</f>
        <v>7</v>
      </c>
    </row>
    <row r="21" spans="1:20" x14ac:dyDescent="0.25">
      <c r="A21">
        <v>24808</v>
      </c>
      <c r="B21">
        <v>1</v>
      </c>
      <c r="C21" t="s">
        <v>22</v>
      </c>
      <c r="D21" t="s">
        <v>53</v>
      </c>
      <c r="E21" t="s">
        <v>13</v>
      </c>
      <c r="F21" t="s">
        <v>181</v>
      </c>
      <c r="G21" t="s">
        <v>182</v>
      </c>
      <c r="H21">
        <v>1641</v>
      </c>
      <c r="I21">
        <v>7654320</v>
      </c>
      <c r="J21">
        <v>72</v>
      </c>
      <c r="K21" t="str">
        <f>CONCATENATE(A21,"_",B21)</f>
        <v>24808_1</v>
      </c>
      <c r="L21" t="str">
        <f>CONCATENATE(H21,I21,J21)</f>
        <v>1641765432072</v>
      </c>
      <c r="M21" t="str">
        <f>TEXT(D21,"mmm")</f>
        <v>Apr</v>
      </c>
      <c r="N21" t="str">
        <f>RIGHT(G21,6)</f>
        <v>233209</v>
      </c>
      <c r="O21" t="str">
        <f>MID(G21,4,FIND("-",G21,4)-4)</f>
        <v>Sydney</v>
      </c>
      <c r="P21" t="str">
        <f>PROPER(CLEAN(TRIM(E21)))</f>
        <v>Inv</v>
      </c>
      <c r="Q21">
        <f>VALUE(SUBSTITUTE(SUBSTITUTE(F21,"S",""),MID(F21,2,1),""))*IF(tbl_Supplier[[#This Row],[Type]]="Cr",-1,1)</f>
        <v>1058.31</v>
      </c>
      <c r="R21" s="29">
        <f>DATE(2020,MONTH(D21),RIGHT(D21,2))</f>
        <v>43929</v>
      </c>
      <c r="S21" s="29">
        <f>DATE(2020,4,RIGHT(C21,2))</f>
        <v>43941</v>
      </c>
      <c r="T21">
        <f>tbl_Supplier[[#This Row],[Paid Date]]-tbl_Supplier[[#This Row],[Invoice Date]]</f>
        <v>12</v>
      </c>
    </row>
    <row r="22" spans="1:20" x14ac:dyDescent="0.25">
      <c r="A22">
        <v>24815</v>
      </c>
      <c r="B22">
        <v>1</v>
      </c>
      <c r="C22" t="s">
        <v>89</v>
      </c>
      <c r="D22" t="s">
        <v>68</v>
      </c>
      <c r="E22" t="s">
        <v>13</v>
      </c>
      <c r="F22" t="s">
        <v>185</v>
      </c>
      <c r="G22" t="s">
        <v>186</v>
      </c>
      <c r="H22">
        <v>1641</v>
      </c>
      <c r="I22">
        <v>7654320</v>
      </c>
      <c r="J22">
        <v>72</v>
      </c>
      <c r="K22" t="str">
        <f>CONCATENATE(A22,"_",B22)</f>
        <v>24815_1</v>
      </c>
      <c r="L22" t="str">
        <f>CONCATENATE(H22,I22,J22)</f>
        <v>1641765432072</v>
      </c>
      <c r="M22" t="str">
        <f>TEXT(D22,"mmm")</f>
        <v>Apr</v>
      </c>
      <c r="N22" t="str">
        <f>RIGHT(G22,6)</f>
        <v>228246</v>
      </c>
      <c r="O22" t="str">
        <f>MID(G22,4,FIND("-",G22,4)-4)</f>
        <v>Sydney</v>
      </c>
      <c r="P22" t="str">
        <f>PROPER(CLEAN(TRIM(E22)))</f>
        <v>Inv</v>
      </c>
      <c r="Q22">
        <f>VALUE(SUBSTITUTE(SUBSTITUTE(F22,"S",""),MID(F22,2,1),""))*IF(tbl_Supplier[[#This Row],[Type]]="Cr",-1,1)</f>
        <v>138.6</v>
      </c>
      <c r="R22" s="29">
        <f>DATE(2020,MONTH(D22),RIGHT(D22,2))</f>
        <v>43935</v>
      </c>
      <c r="S22" s="29">
        <f>DATE(2020,4,RIGHT(C22,2))</f>
        <v>43948</v>
      </c>
      <c r="T22">
        <f>tbl_Supplier[[#This Row],[Paid Date]]-tbl_Supplier[[#This Row],[Invoice Date]]</f>
        <v>13</v>
      </c>
    </row>
    <row r="23" spans="1:20" x14ac:dyDescent="0.25">
      <c r="A23">
        <v>24870</v>
      </c>
      <c r="B23">
        <v>1</v>
      </c>
      <c r="C23" t="s">
        <v>83</v>
      </c>
      <c r="D23" t="s">
        <v>46</v>
      </c>
      <c r="E23" t="s">
        <v>13</v>
      </c>
      <c r="F23" t="s">
        <v>70</v>
      </c>
      <c r="G23" t="s">
        <v>221</v>
      </c>
      <c r="H23">
        <v>1641</v>
      </c>
      <c r="I23">
        <v>7654320</v>
      </c>
      <c r="J23">
        <v>72</v>
      </c>
      <c r="K23" t="str">
        <f>CONCATENATE(A23,"_",B23)</f>
        <v>24870_1</v>
      </c>
      <c r="L23" t="str">
        <f>CONCATENATE(H23,I23,J23)</f>
        <v>1641765432072</v>
      </c>
      <c r="M23" t="str">
        <f>TEXT(D23,"mmm")</f>
        <v>Apr</v>
      </c>
      <c r="N23" t="str">
        <f>RIGHT(G23,6)</f>
        <v>231274</v>
      </c>
      <c r="O23" t="str">
        <f>MID(G23,4,FIND("-",G23,4)-4)</f>
        <v>Sydney</v>
      </c>
      <c r="P23" t="str">
        <f>PROPER(CLEAN(TRIM(E23)))</f>
        <v>Inv</v>
      </c>
      <c r="Q23">
        <f>VALUE(SUBSTITUTE(SUBSTITUTE(F23,"S",""),MID(F23,2,1),""))*IF(tbl_Supplier[[#This Row],[Type]]="Cr",-1,1)</f>
        <v>603.57000000000005</v>
      </c>
      <c r="R23" s="29">
        <f>DATE(2020,MONTH(D23),RIGHT(D23,2))</f>
        <v>43923</v>
      </c>
      <c r="S23" s="29">
        <f>DATE(2020,4,RIGHT(C23,2))</f>
        <v>43951</v>
      </c>
      <c r="T23">
        <f>tbl_Supplier[[#This Row],[Paid Date]]-tbl_Supplier[[#This Row],[Invoice Date]]</f>
        <v>28</v>
      </c>
    </row>
    <row r="24" spans="1:20" x14ac:dyDescent="0.25">
      <c r="A24">
        <v>24882</v>
      </c>
      <c r="B24">
        <v>1</v>
      </c>
      <c r="C24" t="s">
        <v>68</v>
      </c>
      <c r="D24" t="s">
        <v>45</v>
      </c>
      <c r="E24" t="s">
        <v>13</v>
      </c>
      <c r="F24" t="s">
        <v>234</v>
      </c>
      <c r="G24" t="s">
        <v>235</v>
      </c>
      <c r="H24">
        <v>1641</v>
      </c>
      <c r="I24">
        <v>7654320</v>
      </c>
      <c r="J24">
        <v>72</v>
      </c>
      <c r="K24" t="str">
        <f>CONCATENATE(A24,"_",B24)</f>
        <v>24882_1</v>
      </c>
      <c r="L24" t="str">
        <f>CONCATENATE(H24,I24,J24)</f>
        <v>1641765432072</v>
      </c>
      <c r="M24" t="str">
        <f>TEXT(D24,"mmm")</f>
        <v>Apr</v>
      </c>
      <c r="N24" t="str">
        <f>RIGHT(G24,6)</f>
        <v>239476</v>
      </c>
      <c r="O24" t="str">
        <f>MID(G24,4,FIND("-",G24,4)-4)</f>
        <v>Sydney</v>
      </c>
      <c r="P24" t="str">
        <f>PROPER(CLEAN(TRIM(E24)))</f>
        <v>Inv</v>
      </c>
      <c r="Q24">
        <f>VALUE(SUBSTITUTE(SUBSTITUTE(F24,"S",""),MID(F24,2,1),""))*IF(tbl_Supplier[[#This Row],[Type]]="Cr",-1,1)</f>
        <v>955.68</v>
      </c>
      <c r="R24" s="29">
        <f>DATE(2020,MONTH(D24),RIGHT(D24,2))</f>
        <v>43933</v>
      </c>
      <c r="S24" s="29">
        <f>DATE(2020,4,RIGHT(C24,2))</f>
        <v>43935</v>
      </c>
      <c r="T24">
        <f>tbl_Supplier[[#This Row],[Paid Date]]-tbl_Supplier[[#This Row],[Invoice Date]]</f>
        <v>2</v>
      </c>
    </row>
    <row r="25" spans="1:20" x14ac:dyDescent="0.25">
      <c r="A25">
        <v>24885</v>
      </c>
      <c r="B25">
        <v>1</v>
      </c>
      <c r="C25" t="s">
        <v>236</v>
      </c>
      <c r="D25" t="s">
        <v>50</v>
      </c>
      <c r="E25" t="s">
        <v>13</v>
      </c>
      <c r="F25" t="s">
        <v>237</v>
      </c>
      <c r="G25" t="s">
        <v>238</v>
      </c>
      <c r="H25">
        <v>1641</v>
      </c>
      <c r="I25">
        <v>7654320</v>
      </c>
      <c r="J25">
        <v>72</v>
      </c>
      <c r="K25" t="str">
        <f>CONCATENATE(A25,"_",B25)</f>
        <v>24885_1</v>
      </c>
      <c r="L25" t="str">
        <f>CONCATENATE(H25,I25,J25)</f>
        <v>1641765432072</v>
      </c>
      <c r="M25" t="str">
        <f>TEXT(D25,"mmm")</f>
        <v>Apr</v>
      </c>
      <c r="N25" t="str">
        <f>RIGHT(G25,6)</f>
        <v>213693</v>
      </c>
      <c r="O25" t="str">
        <f>MID(G25,4,FIND("-",G25,4)-4)</f>
        <v>Sydney</v>
      </c>
      <c r="P25" t="str">
        <f>PROPER(CLEAN(TRIM(E25)))</f>
        <v>Inv</v>
      </c>
      <c r="Q25">
        <f>VALUE(SUBSTITUTE(SUBSTITUTE(F25,"S",""),MID(F25,2,1),""))*IF(tbl_Supplier[[#This Row],[Type]]="Cr",-1,1)</f>
        <v>764.28</v>
      </c>
      <c r="R25" s="29">
        <f>DATE(2020,MONTH(D25),RIGHT(D25,2))</f>
        <v>43942</v>
      </c>
      <c r="S25" s="29">
        <f>DATE(2020,4,RIGHT(C25,2))</f>
        <v>43950</v>
      </c>
      <c r="T25">
        <f>tbl_Supplier[[#This Row],[Paid Date]]-tbl_Supplier[[#This Row],[Invoice Date]]</f>
        <v>8</v>
      </c>
    </row>
    <row r="26" spans="1:20" x14ac:dyDescent="0.25">
      <c r="A26">
        <v>24693</v>
      </c>
      <c r="B26">
        <v>1</v>
      </c>
      <c r="C26" t="s">
        <v>33</v>
      </c>
      <c r="D26" t="s">
        <v>97</v>
      </c>
      <c r="E26" t="s">
        <v>18</v>
      </c>
      <c r="F26" t="s">
        <v>98</v>
      </c>
      <c r="G26" t="s">
        <v>99</v>
      </c>
      <c r="H26">
        <v>2554</v>
      </c>
      <c r="I26">
        <v>4551221</v>
      </c>
      <c r="J26">
        <v>33</v>
      </c>
      <c r="K26" t="str">
        <f>CONCATENATE(A26,"_",B26)</f>
        <v>24693_1</v>
      </c>
      <c r="L26" t="str">
        <f>CONCATENATE(H26,I26,J26)</f>
        <v>2554455122133</v>
      </c>
      <c r="M26" t="str">
        <f>TEXT(D26,"mmm")</f>
        <v>Feb</v>
      </c>
      <c r="N26" t="str">
        <f>RIGHT(G26,6)</f>
        <v>312187</v>
      </c>
      <c r="O26" t="str">
        <f>MID(G26,4,FIND("-",G26,4)-4)</f>
        <v>Melbourne</v>
      </c>
      <c r="P26" t="str">
        <f>PROPER(CLEAN(TRIM(E26)))</f>
        <v>Inv</v>
      </c>
      <c r="Q26">
        <f>VALUE(SUBSTITUTE(SUBSTITUTE(F26,"S",""),MID(F26,2,1),""))*IF(tbl_Supplier[[#This Row],[Type]]="Cr",-1,1)</f>
        <v>623.70000000000005</v>
      </c>
      <c r="R26" s="29">
        <f>DATE(2020,MONTH(D26),RIGHT(D26,2))</f>
        <v>43885</v>
      </c>
      <c r="S26" s="29">
        <f>DATE(2020,4,RIGHT(C26,2))</f>
        <v>43927</v>
      </c>
      <c r="T26">
        <f>tbl_Supplier[[#This Row],[Paid Date]]-tbl_Supplier[[#This Row],[Invoice Date]]</f>
        <v>42</v>
      </c>
    </row>
    <row r="27" spans="1:20" x14ac:dyDescent="0.25">
      <c r="A27">
        <v>24707</v>
      </c>
      <c r="B27">
        <v>1</v>
      </c>
      <c r="C27" t="s">
        <v>34</v>
      </c>
      <c r="D27" t="s">
        <v>108</v>
      </c>
      <c r="E27" t="s">
        <v>12</v>
      </c>
      <c r="F27" t="s">
        <v>109</v>
      </c>
      <c r="G27" t="s">
        <v>110</v>
      </c>
      <c r="H27">
        <v>2554</v>
      </c>
      <c r="I27">
        <v>4551221</v>
      </c>
      <c r="J27">
        <v>33</v>
      </c>
      <c r="K27" t="str">
        <f>CONCATENATE(A27,"_",B27)</f>
        <v>24707_1</v>
      </c>
      <c r="L27" t="str">
        <f>CONCATENATE(H27,I27,J27)</f>
        <v>2554455122133</v>
      </c>
      <c r="M27" t="str">
        <f>TEXT(D27,"mmm")</f>
        <v>Feb</v>
      </c>
      <c r="N27" t="str">
        <f>RIGHT(G27,6)</f>
        <v>316515</v>
      </c>
      <c r="O27" t="str">
        <f>MID(G27,4,FIND("-",G27,4)-4)</f>
        <v>Melbourne</v>
      </c>
      <c r="P27" t="str">
        <f>PROPER(CLEAN(TRIM(E27)))</f>
        <v>Inv</v>
      </c>
      <c r="Q27">
        <f>VALUE(SUBSTITUTE(SUBSTITUTE(F27,"S",""),MID(F27,2,1),""))*IF(tbl_Supplier[[#This Row],[Type]]="Cr",-1,1)</f>
        <v>299.64</v>
      </c>
      <c r="R27" s="29">
        <f>DATE(2020,MONTH(D27),RIGHT(D27,2))</f>
        <v>43890</v>
      </c>
      <c r="S27" s="29">
        <f>DATE(2020,4,RIGHT(C27,2))</f>
        <v>43928</v>
      </c>
      <c r="T27">
        <f>tbl_Supplier[[#This Row],[Paid Date]]-tbl_Supplier[[#This Row],[Invoice Date]]</f>
        <v>38</v>
      </c>
    </row>
    <row r="28" spans="1:20" x14ac:dyDescent="0.25">
      <c r="A28">
        <v>24750</v>
      </c>
      <c r="B28">
        <v>1</v>
      </c>
      <c r="C28" t="s">
        <v>30</v>
      </c>
      <c r="D28" t="s">
        <v>65</v>
      </c>
      <c r="E28" t="s">
        <v>12</v>
      </c>
      <c r="F28" t="s">
        <v>135</v>
      </c>
      <c r="G28" t="s">
        <v>136</v>
      </c>
      <c r="H28">
        <v>2554</v>
      </c>
      <c r="I28">
        <v>4551221</v>
      </c>
      <c r="J28">
        <v>33</v>
      </c>
      <c r="K28" t="str">
        <f>CONCATENATE(A28,"_",B28)</f>
        <v>24750_1</v>
      </c>
      <c r="L28" t="str">
        <f>CONCATENATE(H28,I28,J28)</f>
        <v>2554455122133</v>
      </c>
      <c r="M28" t="str">
        <f>TEXT(D28,"mmm")</f>
        <v>Feb</v>
      </c>
      <c r="N28" t="str">
        <f>RIGHT(G28,6)</f>
        <v>330858</v>
      </c>
      <c r="O28" t="str">
        <f>MID(G28,4,FIND("-",G28,4)-4)</f>
        <v>Melbourne</v>
      </c>
      <c r="P28" t="str">
        <f>PROPER(CLEAN(TRIM(E28)))</f>
        <v>Inv</v>
      </c>
      <c r="Q28">
        <f>VALUE(SUBSTITUTE(SUBSTITUTE(F28,"S",""),MID(F28,2,1),""))*IF(tbl_Supplier[[#This Row],[Type]]="Cr",-1,1)</f>
        <v>426.03</v>
      </c>
      <c r="R28" s="29">
        <f>DATE(2020,MONTH(D28),RIGHT(D28,2))</f>
        <v>43886</v>
      </c>
      <c r="S28" s="29">
        <f>DATE(2020,4,RIGHT(C28,2))</f>
        <v>43931</v>
      </c>
      <c r="T28">
        <f>tbl_Supplier[[#This Row],[Paid Date]]-tbl_Supplier[[#This Row],[Invoice Date]]</f>
        <v>45</v>
      </c>
    </row>
    <row r="29" spans="1:20" x14ac:dyDescent="0.25">
      <c r="A29">
        <v>24795</v>
      </c>
      <c r="B29">
        <v>1</v>
      </c>
      <c r="C29" t="s">
        <v>34</v>
      </c>
      <c r="D29" t="s">
        <v>119</v>
      </c>
      <c r="E29" t="s">
        <v>13</v>
      </c>
      <c r="F29" t="s">
        <v>173</v>
      </c>
      <c r="G29" t="s">
        <v>174</v>
      </c>
      <c r="H29">
        <v>2554</v>
      </c>
      <c r="I29">
        <v>4551221</v>
      </c>
      <c r="J29">
        <v>33</v>
      </c>
      <c r="K29" t="str">
        <f>CONCATENATE(A29,"_",B29)</f>
        <v>24795_1</v>
      </c>
      <c r="L29" t="str">
        <f>CONCATENATE(H29,I29,J29)</f>
        <v>2554455122133</v>
      </c>
      <c r="M29" t="str">
        <f>TEXT(D29,"mmm")</f>
        <v>Feb</v>
      </c>
      <c r="N29" t="str">
        <f>RIGHT(G29,6)</f>
        <v>327740</v>
      </c>
      <c r="O29" t="str">
        <f>MID(G29,4,FIND("-",G29,4)-4)</f>
        <v>Melbourne</v>
      </c>
      <c r="P29" t="str">
        <f>PROPER(CLEAN(TRIM(E29)))</f>
        <v>Inv</v>
      </c>
      <c r="Q29">
        <f>VALUE(SUBSTITUTE(SUBSTITUTE(F29,"S",""),MID(F29,2,1),""))*IF(tbl_Supplier[[#This Row],[Type]]="Cr",-1,1)</f>
        <v>950.73</v>
      </c>
      <c r="R29" s="29">
        <f>DATE(2020,MONTH(D29),RIGHT(D29,2))</f>
        <v>43888</v>
      </c>
      <c r="S29" s="29">
        <f>DATE(2020,4,RIGHT(C29,2))</f>
        <v>43928</v>
      </c>
      <c r="T29">
        <f>tbl_Supplier[[#This Row],[Paid Date]]-tbl_Supplier[[#This Row],[Invoice Date]]</f>
        <v>40</v>
      </c>
    </row>
    <row r="30" spans="1:20" x14ac:dyDescent="0.25">
      <c r="A30">
        <v>24861</v>
      </c>
      <c r="B30">
        <v>1</v>
      </c>
      <c r="C30" t="s">
        <v>53</v>
      </c>
      <c r="D30" t="s">
        <v>214</v>
      </c>
      <c r="E30" t="s">
        <v>13</v>
      </c>
      <c r="F30" t="s">
        <v>215</v>
      </c>
      <c r="G30" t="s">
        <v>216</v>
      </c>
      <c r="H30">
        <v>2554</v>
      </c>
      <c r="I30">
        <v>4551221</v>
      </c>
      <c r="J30">
        <v>33</v>
      </c>
      <c r="K30" t="str">
        <f>CONCATENATE(A30,"_",B30)</f>
        <v>24861_1</v>
      </c>
      <c r="L30" t="str">
        <f>CONCATENATE(H30,I30,J30)</f>
        <v>2554455122133</v>
      </c>
      <c r="M30" t="str">
        <f>TEXT(D30,"mmm")</f>
        <v>Feb</v>
      </c>
      <c r="N30" t="str">
        <f>RIGHT(G30,6)</f>
        <v>316190</v>
      </c>
      <c r="O30" t="str">
        <f>MID(G30,4,FIND("-",G30,4)-4)</f>
        <v>Melbourne</v>
      </c>
      <c r="P30" t="str">
        <f>PROPER(CLEAN(TRIM(E30)))</f>
        <v>Inv</v>
      </c>
      <c r="Q30">
        <f>VALUE(SUBSTITUTE(SUBSTITUTE(F30,"S",""),MID(F30,2,1),""))*IF(tbl_Supplier[[#This Row],[Type]]="Cr",-1,1)</f>
        <v>600.6</v>
      </c>
      <c r="R30" s="29">
        <f>DATE(2020,MONTH(D30),RIGHT(D30,2))</f>
        <v>43887</v>
      </c>
      <c r="S30" s="29">
        <f>DATE(2020,4,RIGHT(C30,2))</f>
        <v>43929</v>
      </c>
      <c r="T30">
        <f>tbl_Supplier[[#This Row],[Paid Date]]-tbl_Supplier[[#This Row],[Invoice Date]]</f>
        <v>42</v>
      </c>
    </row>
    <row r="31" spans="1:20" x14ac:dyDescent="0.25">
      <c r="A31">
        <v>24877</v>
      </c>
      <c r="B31">
        <v>1</v>
      </c>
      <c r="C31" t="s">
        <v>51</v>
      </c>
      <c r="D31" t="s">
        <v>108</v>
      </c>
      <c r="E31" t="s">
        <v>13</v>
      </c>
      <c r="F31" t="s">
        <v>228</v>
      </c>
      <c r="G31" t="s">
        <v>229</v>
      </c>
      <c r="H31">
        <v>2554</v>
      </c>
      <c r="I31">
        <v>4551221</v>
      </c>
      <c r="J31">
        <v>33</v>
      </c>
      <c r="K31" t="str">
        <f>CONCATENATE(A31,"_",B31)</f>
        <v>24877_1</v>
      </c>
      <c r="L31" t="str">
        <f>CONCATENATE(H31,I31,J31)</f>
        <v>2554455122133</v>
      </c>
      <c r="M31" t="str">
        <f>TEXT(D31,"mmm")</f>
        <v>Feb</v>
      </c>
      <c r="N31" t="str">
        <f>RIGHT(G31,6)</f>
        <v>325643</v>
      </c>
      <c r="O31" t="str">
        <f>MID(G31,4,FIND("-",G31,4)-4)</f>
        <v>Melbourne</v>
      </c>
      <c r="P31" t="str">
        <f>PROPER(CLEAN(TRIM(E31)))</f>
        <v>Inv</v>
      </c>
      <c r="Q31">
        <f>VALUE(SUBSTITUTE(SUBSTITUTE(F31,"S",""),MID(F31,2,1),""))*IF(tbl_Supplier[[#This Row],[Type]]="Cr",-1,1)</f>
        <v>650.42999999999995</v>
      </c>
      <c r="R31" s="29">
        <f>DATE(2020,MONTH(D31),RIGHT(D31,2))</f>
        <v>43890</v>
      </c>
      <c r="S31" s="29">
        <f>DATE(2020,4,RIGHT(C31,2))</f>
        <v>43932</v>
      </c>
      <c r="T31">
        <f>tbl_Supplier[[#This Row],[Paid Date]]-tbl_Supplier[[#This Row],[Invoice Date]]</f>
        <v>42</v>
      </c>
    </row>
    <row r="32" spans="1:20" x14ac:dyDescent="0.25">
      <c r="A32">
        <v>24730</v>
      </c>
      <c r="B32">
        <v>1</v>
      </c>
      <c r="C32" t="s">
        <v>53</v>
      </c>
      <c r="D32" t="s">
        <v>119</v>
      </c>
      <c r="E32" t="s">
        <v>13</v>
      </c>
      <c r="F32" t="s">
        <v>120</v>
      </c>
      <c r="G32" t="s">
        <v>121</v>
      </c>
      <c r="H32">
        <v>1641</v>
      </c>
      <c r="I32">
        <v>7654320</v>
      </c>
      <c r="J32">
        <v>72</v>
      </c>
      <c r="K32" t="str">
        <f>CONCATENATE(A32,"_",B32)</f>
        <v>24730_1</v>
      </c>
      <c r="L32" t="str">
        <f>CONCATENATE(H32,I32,J32)</f>
        <v>1641765432072</v>
      </c>
      <c r="M32" t="str">
        <f>TEXT(D32,"mmm")</f>
        <v>Feb</v>
      </c>
      <c r="N32" t="str">
        <f>RIGHT(G32,6)</f>
        <v>230046</v>
      </c>
      <c r="O32" t="str">
        <f>MID(G32,4,FIND("-",G32,4)-4)</f>
        <v>Sydney</v>
      </c>
      <c r="P32" t="str">
        <f>PROPER(CLEAN(TRIM(E32)))</f>
        <v>Inv</v>
      </c>
      <c r="Q32">
        <f>VALUE(SUBSTITUTE(SUBSTITUTE(F32,"S",""),MID(F32,2,1),""))*IF(tbl_Supplier[[#This Row],[Type]]="Cr",-1,1)</f>
        <v>1096.92</v>
      </c>
      <c r="R32" s="29">
        <f>DATE(2020,MONTH(D32),RIGHT(D32,2))</f>
        <v>43888</v>
      </c>
      <c r="S32" s="29">
        <f>DATE(2020,4,RIGHT(C32,2))</f>
        <v>43929</v>
      </c>
      <c r="T32">
        <f>tbl_Supplier[[#This Row],[Paid Date]]-tbl_Supplier[[#This Row],[Invoice Date]]</f>
        <v>41</v>
      </c>
    </row>
    <row r="33" spans="1:20" x14ac:dyDescent="0.25">
      <c r="A33">
        <v>24732</v>
      </c>
      <c r="B33">
        <v>1</v>
      </c>
      <c r="C33" t="s">
        <v>34</v>
      </c>
      <c r="D33" t="s">
        <v>65</v>
      </c>
      <c r="E33" t="s">
        <v>13</v>
      </c>
      <c r="F33" t="s">
        <v>122</v>
      </c>
      <c r="G33" t="s">
        <v>123</v>
      </c>
      <c r="H33">
        <v>1641</v>
      </c>
      <c r="I33">
        <v>7654320</v>
      </c>
      <c r="J33">
        <v>72</v>
      </c>
      <c r="K33" t="str">
        <f>CONCATENATE(A33,"_",B33)</f>
        <v>24732_1</v>
      </c>
      <c r="L33" t="str">
        <f>CONCATENATE(H33,I33,J33)</f>
        <v>1641765432072</v>
      </c>
      <c r="M33" t="str">
        <f>TEXT(D33,"mmm")</f>
        <v>Feb</v>
      </c>
      <c r="N33" t="str">
        <f>RIGHT(G33,6)</f>
        <v>224680</v>
      </c>
      <c r="O33" t="str">
        <f>MID(G33,4,FIND("-",G33,4)-4)</f>
        <v>Sydney</v>
      </c>
      <c r="P33" t="str">
        <f>PROPER(CLEAN(TRIM(E33)))</f>
        <v>Inv</v>
      </c>
      <c r="Q33">
        <f>VALUE(SUBSTITUTE(SUBSTITUTE(F33,"S",""),MID(F33,2,1),""))*IF(tbl_Supplier[[#This Row],[Type]]="Cr",-1,1)</f>
        <v>257.07</v>
      </c>
      <c r="R33" s="29">
        <f>DATE(2020,MONTH(D33),RIGHT(D33,2))</f>
        <v>43886</v>
      </c>
      <c r="S33" s="29">
        <f>DATE(2020,4,RIGHT(C33,2))</f>
        <v>43928</v>
      </c>
      <c r="T33">
        <f>tbl_Supplier[[#This Row],[Paid Date]]-tbl_Supplier[[#This Row],[Invoice Date]]</f>
        <v>42</v>
      </c>
    </row>
    <row r="34" spans="1:20" x14ac:dyDescent="0.25">
      <c r="A34">
        <v>24767</v>
      </c>
      <c r="B34">
        <v>1</v>
      </c>
      <c r="C34" t="s">
        <v>40</v>
      </c>
      <c r="D34" t="s">
        <v>155</v>
      </c>
      <c r="E34" t="s">
        <v>13</v>
      </c>
      <c r="F34" t="s">
        <v>156</v>
      </c>
      <c r="G34" t="s">
        <v>157</v>
      </c>
      <c r="H34">
        <v>1641</v>
      </c>
      <c r="I34">
        <v>7654320</v>
      </c>
      <c r="J34">
        <v>72</v>
      </c>
      <c r="K34" t="str">
        <f>CONCATENATE(A34,"_",B34)</f>
        <v>24767_1</v>
      </c>
      <c r="L34" t="str">
        <f>CONCATENATE(H34,I34,J34)</f>
        <v>1641765432072</v>
      </c>
      <c r="M34" t="str">
        <f>TEXT(D34,"mmm")</f>
        <v>Feb</v>
      </c>
      <c r="N34" t="str">
        <f>RIGHT(G34,6)</f>
        <v>222399</v>
      </c>
      <c r="O34" t="str">
        <f>MID(G34,4,FIND("-",G34,4)-4)</f>
        <v>Sydney</v>
      </c>
      <c r="P34" t="str">
        <f>PROPER(CLEAN(TRIM(E34)))</f>
        <v>Inv</v>
      </c>
      <c r="Q34">
        <f>VALUE(SUBSTITUTE(SUBSTITUTE(F34,"S",""),MID(F34,2,1),""))*IF(tbl_Supplier[[#This Row],[Type]]="Cr",-1,1)</f>
        <v>1019.04</v>
      </c>
      <c r="R34" s="29">
        <f>DATE(2020,MONTH(D34),RIGHT(D34,2))</f>
        <v>43880</v>
      </c>
      <c r="S34" s="29">
        <f>DATE(2020,4,RIGHT(C34,2))</f>
        <v>43924</v>
      </c>
      <c r="T34">
        <f>tbl_Supplier[[#This Row],[Paid Date]]-tbl_Supplier[[#This Row],[Invoice Date]]</f>
        <v>44</v>
      </c>
    </row>
    <row r="35" spans="1:20" x14ac:dyDescent="0.25">
      <c r="A35">
        <v>24833</v>
      </c>
      <c r="B35">
        <v>1</v>
      </c>
      <c r="C35" t="s">
        <v>28</v>
      </c>
      <c r="D35" t="s">
        <v>58</v>
      </c>
      <c r="E35" t="s">
        <v>13</v>
      </c>
      <c r="F35" t="s">
        <v>199</v>
      </c>
      <c r="G35" t="s">
        <v>200</v>
      </c>
      <c r="H35">
        <v>1641</v>
      </c>
      <c r="I35">
        <v>7654320</v>
      </c>
      <c r="J35">
        <v>72</v>
      </c>
      <c r="K35" t="str">
        <f>CONCATENATE(A35,"_",B35)</f>
        <v>24833_1</v>
      </c>
      <c r="L35" t="str">
        <f>CONCATENATE(H35,I35,J35)</f>
        <v>1641765432072</v>
      </c>
      <c r="M35" t="str">
        <f>TEXT(D35,"mmm")</f>
        <v>Feb</v>
      </c>
      <c r="N35" t="str">
        <f>RIGHT(G35,6)</f>
        <v>234966</v>
      </c>
      <c r="O35" t="str">
        <f>MID(G35,4,FIND("-",G35,4)-4)</f>
        <v>Sydney</v>
      </c>
      <c r="P35" t="str">
        <f>PROPER(CLEAN(TRIM(E35)))</f>
        <v>Inv</v>
      </c>
      <c r="Q35">
        <f>VALUE(SUBSTITUTE(SUBSTITUTE(F35,"S",""),MID(F35,2,1),""))*IF(tbl_Supplier[[#This Row],[Type]]="Cr",-1,1)</f>
        <v>511.83</v>
      </c>
      <c r="R35" s="29">
        <f>DATE(2020,MONTH(D35),RIGHT(D35,2))</f>
        <v>43881</v>
      </c>
      <c r="S35" s="29">
        <f>DATE(2020,4,RIGHT(C35,2))</f>
        <v>43926</v>
      </c>
      <c r="T35">
        <f>tbl_Supplier[[#This Row],[Paid Date]]-tbl_Supplier[[#This Row],[Invoice Date]]</f>
        <v>45</v>
      </c>
    </row>
    <row r="36" spans="1:20" x14ac:dyDescent="0.25">
      <c r="A36">
        <v>24675</v>
      </c>
      <c r="B36">
        <v>1</v>
      </c>
      <c r="C36" t="s">
        <v>28</v>
      </c>
      <c r="D36" t="s">
        <v>31</v>
      </c>
      <c r="E36" t="s">
        <v>12</v>
      </c>
      <c r="F36" t="s">
        <v>77</v>
      </c>
      <c r="G36" t="s">
        <v>78</v>
      </c>
      <c r="H36">
        <v>2554</v>
      </c>
      <c r="I36">
        <v>4551221</v>
      </c>
      <c r="J36">
        <v>33</v>
      </c>
      <c r="K36" t="str">
        <f>CONCATENATE(A36,"_",B36)</f>
        <v>24675_1</v>
      </c>
      <c r="L36" t="str">
        <f>CONCATENATE(H36,I36,J36)</f>
        <v>2554455122133</v>
      </c>
      <c r="M36" t="str">
        <f>TEXT(D36,"mmm")</f>
        <v>Mar</v>
      </c>
      <c r="N36" t="str">
        <f>RIGHT(G36,6)</f>
        <v>332589</v>
      </c>
      <c r="O36" t="str">
        <f>MID(G36,4,FIND("-",G36,4)-4)</f>
        <v>Melbourne</v>
      </c>
      <c r="P36" t="str">
        <f>PROPER(CLEAN(TRIM(E36)))</f>
        <v>Inv</v>
      </c>
      <c r="Q36">
        <f>VALUE(SUBSTITUTE(SUBSTITUTE(F36,"S",""),MID(F36,2,1),""))*IF(tbl_Supplier[[#This Row],[Type]]="Cr",-1,1)</f>
        <v>409.53</v>
      </c>
      <c r="R36" s="29">
        <f>DATE(2020,MONTH(D36),RIGHT(D36,2))</f>
        <v>43906</v>
      </c>
      <c r="S36" s="29">
        <f>DATE(2020,4,RIGHT(C36,2))</f>
        <v>43926</v>
      </c>
      <c r="T36">
        <f>tbl_Supplier[[#This Row],[Paid Date]]-tbl_Supplier[[#This Row],[Invoice Date]]</f>
        <v>20</v>
      </c>
    </row>
    <row r="37" spans="1:20" x14ac:dyDescent="0.25">
      <c r="A37">
        <v>24676</v>
      </c>
      <c r="B37">
        <v>1</v>
      </c>
      <c r="C37" t="s">
        <v>22</v>
      </c>
      <c r="D37" t="s">
        <v>67</v>
      </c>
      <c r="E37" t="s">
        <v>15</v>
      </c>
      <c r="F37" t="s">
        <v>79</v>
      </c>
      <c r="G37" t="s">
        <v>80</v>
      </c>
      <c r="H37">
        <v>2554</v>
      </c>
      <c r="I37">
        <v>4551221</v>
      </c>
      <c r="J37">
        <v>33</v>
      </c>
      <c r="K37" t="str">
        <f>CONCATENATE(A37,"_",B37)</f>
        <v>24676_1</v>
      </c>
      <c r="L37" t="str">
        <f>CONCATENATE(H37,I37,J37)</f>
        <v>2554455122133</v>
      </c>
      <c r="M37" t="str">
        <f>TEXT(D37,"mmm")</f>
        <v>Mar</v>
      </c>
      <c r="N37" t="str">
        <f>RIGHT(G37,6)</f>
        <v>337131</v>
      </c>
      <c r="O37" t="str">
        <f>MID(G37,4,FIND("-",G37,4)-4)</f>
        <v>Melbourne</v>
      </c>
      <c r="P37" t="str">
        <f>PROPER(CLEAN(TRIM(E37)))</f>
        <v>Cr</v>
      </c>
      <c r="Q37">
        <f>VALUE(SUBSTITUTE(SUBSTITUTE(F37,"S",""),MID(F37,2,1),""))*IF(tbl_Supplier[[#This Row],[Type]]="Cr",-1,1)</f>
        <v>-234.96</v>
      </c>
      <c r="R37" s="29">
        <f>DATE(2020,MONTH(D37),RIGHT(D37,2))</f>
        <v>43915</v>
      </c>
      <c r="S37" s="29">
        <f>DATE(2020,4,RIGHT(C37,2))</f>
        <v>43941</v>
      </c>
      <c r="T37">
        <f>tbl_Supplier[[#This Row],[Paid Date]]-tbl_Supplier[[#This Row],[Invoice Date]]</f>
        <v>26</v>
      </c>
    </row>
    <row r="38" spans="1:20" x14ac:dyDescent="0.25">
      <c r="A38">
        <v>24677</v>
      </c>
      <c r="B38">
        <v>1</v>
      </c>
      <c r="C38" t="s">
        <v>30</v>
      </c>
      <c r="D38" t="s">
        <v>60</v>
      </c>
      <c r="E38" t="s">
        <v>15</v>
      </c>
      <c r="F38" t="s">
        <v>81</v>
      </c>
      <c r="G38" t="s">
        <v>82</v>
      </c>
      <c r="H38">
        <v>2554</v>
      </c>
      <c r="I38">
        <v>4551221</v>
      </c>
      <c r="J38">
        <v>33</v>
      </c>
      <c r="K38" t="str">
        <f>CONCATENATE(A38,"_",B38)</f>
        <v>24677_1</v>
      </c>
      <c r="L38" t="str">
        <f>CONCATENATE(H38,I38,J38)</f>
        <v>2554455122133</v>
      </c>
      <c r="M38" t="str">
        <f>TEXT(D38,"mmm")</f>
        <v>Mar</v>
      </c>
      <c r="N38" t="str">
        <f>RIGHT(G38,6)</f>
        <v>319376</v>
      </c>
      <c r="O38" t="str">
        <f>MID(G38,4,FIND("-",G38,4)-4)</f>
        <v>Melbourne</v>
      </c>
      <c r="P38" t="str">
        <f>PROPER(CLEAN(TRIM(E38)))</f>
        <v>Cr</v>
      </c>
      <c r="Q38">
        <f>VALUE(SUBSTITUTE(SUBSTITUTE(F38,"S",""),MID(F38,2,1),""))*IF(tbl_Supplier[[#This Row],[Type]]="Cr",-1,1)</f>
        <v>-450.12</v>
      </c>
      <c r="R38" s="29">
        <f>DATE(2020,MONTH(D38),RIGHT(D38,2))</f>
        <v>43907</v>
      </c>
      <c r="S38" s="29">
        <f>DATE(2020,4,RIGHT(C38,2))</f>
        <v>43931</v>
      </c>
      <c r="T38">
        <f>tbl_Supplier[[#This Row],[Paid Date]]-tbl_Supplier[[#This Row],[Invoice Date]]</f>
        <v>24</v>
      </c>
    </row>
    <row r="39" spans="1:20" x14ac:dyDescent="0.25">
      <c r="A39">
        <v>24679</v>
      </c>
      <c r="B39">
        <v>2</v>
      </c>
      <c r="C39" t="s">
        <v>83</v>
      </c>
      <c r="D39" t="s">
        <v>71</v>
      </c>
      <c r="E39" t="s">
        <v>13</v>
      </c>
      <c r="F39" t="s">
        <v>86</v>
      </c>
      <c r="G39" t="s">
        <v>87</v>
      </c>
      <c r="H39">
        <v>2554</v>
      </c>
      <c r="I39">
        <v>4551221</v>
      </c>
      <c r="J39">
        <v>33</v>
      </c>
      <c r="K39" t="str">
        <f>CONCATENATE(A39,"_",B39)</f>
        <v>24679_2</v>
      </c>
      <c r="L39" t="str">
        <f>CONCATENATE(H39,I39,J39)</f>
        <v>2554455122133</v>
      </c>
      <c r="M39" t="str">
        <f>TEXT(D39,"mmm")</f>
        <v>Mar</v>
      </c>
      <c r="N39" t="str">
        <f>RIGHT(G39,6)</f>
        <v>310607</v>
      </c>
      <c r="O39" t="str">
        <f>MID(G39,4,FIND("-",G39,4)-4)</f>
        <v>Melbourne</v>
      </c>
      <c r="P39" t="str">
        <f>PROPER(CLEAN(TRIM(E39)))</f>
        <v>Inv</v>
      </c>
      <c r="Q39">
        <f>VALUE(SUBSTITUTE(SUBSTITUTE(F39,"S",""),MID(F39,2,1),""))*IF(tbl_Supplier[[#This Row],[Type]]="Cr",-1,1)</f>
        <v>930.93</v>
      </c>
      <c r="R39" s="29">
        <f>DATE(2020,MONTH(D39),RIGHT(D39,2))</f>
        <v>43913</v>
      </c>
      <c r="S39" s="29">
        <f>DATE(2020,4,RIGHT(C39,2))</f>
        <v>43951</v>
      </c>
      <c r="T39">
        <f>tbl_Supplier[[#This Row],[Paid Date]]-tbl_Supplier[[#This Row],[Invoice Date]]</f>
        <v>38</v>
      </c>
    </row>
    <row r="40" spans="1:20" x14ac:dyDescent="0.25">
      <c r="A40">
        <v>24697</v>
      </c>
      <c r="B40">
        <v>1</v>
      </c>
      <c r="C40" t="s">
        <v>42</v>
      </c>
      <c r="D40" t="s">
        <v>47</v>
      </c>
      <c r="E40" t="s">
        <v>13</v>
      </c>
      <c r="F40" t="s">
        <v>100</v>
      </c>
      <c r="G40" t="s">
        <v>101</v>
      </c>
      <c r="H40">
        <v>2554</v>
      </c>
      <c r="I40">
        <v>4551221</v>
      </c>
      <c r="J40">
        <v>33</v>
      </c>
      <c r="K40" t="str">
        <f>CONCATENATE(A40,"_",B40)</f>
        <v>24697_1</v>
      </c>
      <c r="L40" t="str">
        <f>CONCATENATE(H40,I40,J40)</f>
        <v>2554455122133</v>
      </c>
      <c r="M40" t="str">
        <f>TEXT(D40,"mmm")</f>
        <v>Mar</v>
      </c>
      <c r="N40" t="str">
        <f>RIGHT(G40,6)</f>
        <v>319790</v>
      </c>
      <c r="O40" t="str">
        <f>MID(G40,4,FIND("-",G40,4)-4)</f>
        <v>Melbourne</v>
      </c>
      <c r="P40" t="str">
        <f>PROPER(CLEAN(TRIM(E40)))</f>
        <v>Inv</v>
      </c>
      <c r="Q40">
        <f>VALUE(SUBSTITUTE(SUBSTITUTE(F40,"S",""),MID(F40,2,1),""))*IF(tbl_Supplier[[#This Row],[Type]]="Cr",-1,1)</f>
        <v>221.1</v>
      </c>
      <c r="R40" s="29">
        <f>DATE(2020,MONTH(D40),RIGHT(D40,2))</f>
        <v>43919</v>
      </c>
      <c r="S40" s="29">
        <f>DATE(2020,4,RIGHT(C40,2))</f>
        <v>43945</v>
      </c>
      <c r="T40">
        <f>tbl_Supplier[[#This Row],[Paid Date]]-tbl_Supplier[[#This Row],[Invoice Date]]</f>
        <v>26</v>
      </c>
    </row>
    <row r="41" spans="1:20" x14ac:dyDescent="0.25">
      <c r="A41">
        <v>24699</v>
      </c>
      <c r="B41">
        <v>1</v>
      </c>
      <c r="C41" t="s">
        <v>50</v>
      </c>
      <c r="D41" t="s">
        <v>92</v>
      </c>
      <c r="E41" t="s">
        <v>13</v>
      </c>
      <c r="F41" t="s">
        <v>104</v>
      </c>
      <c r="G41" t="s">
        <v>105</v>
      </c>
      <c r="H41">
        <v>2554</v>
      </c>
      <c r="I41">
        <v>4551221</v>
      </c>
      <c r="J41">
        <v>33</v>
      </c>
      <c r="K41" t="str">
        <f>CONCATENATE(A41,"_",B41)</f>
        <v>24699_1</v>
      </c>
      <c r="L41" t="str">
        <f>CONCATENATE(H41,I41,J41)</f>
        <v>2554455122133</v>
      </c>
      <c r="M41" t="str">
        <f>TEXT(D41,"mmm")</f>
        <v>Mar</v>
      </c>
      <c r="N41" t="str">
        <f>RIGHT(G41,6)</f>
        <v>335460</v>
      </c>
      <c r="O41" t="str">
        <f>MID(G41,4,FIND("-",G41,4)-4)</f>
        <v>Melbourne</v>
      </c>
      <c r="P41" t="str">
        <f>PROPER(CLEAN(TRIM(E41)))</f>
        <v>Inv</v>
      </c>
      <c r="Q41">
        <f>VALUE(SUBSTITUTE(SUBSTITUTE(F41,"S",""),MID(F41,2,1),""))*IF(tbl_Supplier[[#This Row],[Type]]="Cr",-1,1)</f>
        <v>642.17999999999995</v>
      </c>
      <c r="R41" s="29">
        <f>DATE(2020,MONTH(D41),RIGHT(D41,2))</f>
        <v>43899</v>
      </c>
      <c r="S41" s="29">
        <f>DATE(2020,4,RIGHT(C41,2))</f>
        <v>43942</v>
      </c>
      <c r="T41">
        <f>tbl_Supplier[[#This Row],[Paid Date]]-tbl_Supplier[[#This Row],[Invoice Date]]</f>
        <v>43</v>
      </c>
    </row>
    <row r="42" spans="1:20" x14ac:dyDescent="0.25">
      <c r="A42">
        <v>24704</v>
      </c>
      <c r="B42">
        <v>1</v>
      </c>
      <c r="C42" t="s">
        <v>83</v>
      </c>
      <c r="D42" t="s">
        <v>36</v>
      </c>
      <c r="E42" t="s">
        <v>12</v>
      </c>
      <c r="F42" t="s">
        <v>106</v>
      </c>
      <c r="G42" t="s">
        <v>107</v>
      </c>
      <c r="H42">
        <v>2554</v>
      </c>
      <c r="I42">
        <v>4551221</v>
      </c>
      <c r="J42">
        <v>33</v>
      </c>
      <c r="K42" t="str">
        <f>CONCATENATE(A42,"_",B42)</f>
        <v>24704_1</v>
      </c>
      <c r="L42" t="str">
        <f>CONCATENATE(H42,I42,J42)</f>
        <v>2554455122133</v>
      </c>
      <c r="M42" t="str">
        <f>TEXT(D42,"mmm")</f>
        <v>Mar</v>
      </c>
      <c r="N42" t="str">
        <f>RIGHT(G42,6)</f>
        <v>323955</v>
      </c>
      <c r="O42" t="str">
        <f>MID(G42,4,FIND("-",G42,4)-4)</f>
        <v>Melbourne</v>
      </c>
      <c r="P42" t="str">
        <f>PROPER(CLEAN(TRIM(E42)))</f>
        <v>Inv</v>
      </c>
      <c r="Q42">
        <f>VALUE(SUBSTITUTE(SUBSTITUTE(F42,"S",""),MID(F42,2,1),""))*IF(tbl_Supplier[[#This Row],[Type]]="Cr",-1,1)</f>
        <v>499.95</v>
      </c>
      <c r="R42" s="29">
        <f>DATE(2020,MONTH(D42),RIGHT(D42,2))</f>
        <v>43909</v>
      </c>
      <c r="S42" s="29">
        <f>DATE(2020,4,RIGHT(C42,2))</f>
        <v>43951</v>
      </c>
      <c r="T42">
        <f>tbl_Supplier[[#This Row],[Paid Date]]-tbl_Supplier[[#This Row],[Invoice Date]]</f>
        <v>42</v>
      </c>
    </row>
    <row r="43" spans="1:20" x14ac:dyDescent="0.25">
      <c r="A43">
        <v>24743</v>
      </c>
      <c r="B43">
        <v>1</v>
      </c>
      <c r="C43" t="s">
        <v>32</v>
      </c>
      <c r="D43" t="s">
        <v>130</v>
      </c>
      <c r="E43" t="s">
        <v>13</v>
      </c>
      <c r="F43" t="s">
        <v>131</v>
      </c>
      <c r="G43" t="s">
        <v>132</v>
      </c>
      <c r="H43">
        <v>2554</v>
      </c>
      <c r="I43">
        <v>4551221</v>
      </c>
      <c r="J43">
        <v>33</v>
      </c>
      <c r="K43" t="str">
        <f>CONCATENATE(A43,"_",B43)</f>
        <v>24743_1</v>
      </c>
      <c r="L43" t="str">
        <f>CONCATENATE(H43,I43,J43)</f>
        <v>2554455122133</v>
      </c>
      <c r="M43" t="str">
        <f>TEXT(D43,"mmm")</f>
        <v>Mar</v>
      </c>
      <c r="N43" t="str">
        <f>RIGHT(G43,6)</f>
        <v>331383</v>
      </c>
      <c r="O43" t="str">
        <f>MID(G43,4,FIND("-",G43,4)-4)</f>
        <v>Melbourne</v>
      </c>
      <c r="P43" t="str">
        <f>PROPER(CLEAN(TRIM(E43)))</f>
        <v>Inv</v>
      </c>
      <c r="Q43">
        <f>VALUE(SUBSTITUTE(SUBSTITUTE(F43,"S",""),MID(F43,2,1),""))*IF(tbl_Supplier[[#This Row],[Type]]="Cr",-1,1)</f>
        <v>78.540000000000006</v>
      </c>
      <c r="R43" s="29">
        <f>DATE(2020,MONTH(D43),RIGHT(D43,2))</f>
        <v>43911</v>
      </c>
      <c r="S43" s="29">
        <f>DATE(2020,4,RIGHT(C43,2))</f>
        <v>43925</v>
      </c>
      <c r="T43">
        <f>tbl_Supplier[[#This Row],[Paid Date]]-tbl_Supplier[[#This Row],[Invoice Date]]</f>
        <v>14</v>
      </c>
    </row>
    <row r="44" spans="1:20" x14ac:dyDescent="0.25">
      <c r="A44">
        <v>24746</v>
      </c>
      <c r="B44">
        <v>1</v>
      </c>
      <c r="C44" t="s">
        <v>33</v>
      </c>
      <c r="D44" t="s">
        <v>62</v>
      </c>
      <c r="E44" t="s">
        <v>13</v>
      </c>
      <c r="F44" t="s">
        <v>133</v>
      </c>
      <c r="G44" t="s">
        <v>134</v>
      </c>
      <c r="H44">
        <v>2554</v>
      </c>
      <c r="I44">
        <v>4551221</v>
      </c>
      <c r="J44">
        <v>33</v>
      </c>
      <c r="K44" t="str">
        <f>CONCATENATE(A44,"_",B44)</f>
        <v>24746_1</v>
      </c>
      <c r="L44" t="str">
        <f>CONCATENATE(H44,I44,J44)</f>
        <v>2554455122133</v>
      </c>
      <c r="M44" t="str">
        <f>TEXT(D44,"mmm")</f>
        <v>Mar</v>
      </c>
      <c r="N44" t="str">
        <f>RIGHT(G44,6)</f>
        <v>335282</v>
      </c>
      <c r="O44" t="str">
        <f>MID(G44,4,FIND("-",G44,4)-4)</f>
        <v>Melbourne</v>
      </c>
      <c r="P44" t="str">
        <f>PROPER(CLEAN(TRIM(E44)))</f>
        <v>Inv</v>
      </c>
      <c r="Q44">
        <f>VALUE(SUBSTITUTE(SUBSTITUTE(F44,"S",""),MID(F44,2,1),""))*IF(tbl_Supplier[[#This Row],[Type]]="Cr",-1,1)</f>
        <v>302.61</v>
      </c>
      <c r="R44" s="29">
        <f>DATE(2020,MONTH(D44),RIGHT(D44,2))</f>
        <v>43892</v>
      </c>
      <c r="S44" s="29">
        <f>DATE(2020,4,RIGHT(C44,2))</f>
        <v>43927</v>
      </c>
      <c r="T44">
        <f>tbl_Supplier[[#This Row],[Paid Date]]-tbl_Supplier[[#This Row],[Invoice Date]]</f>
        <v>35</v>
      </c>
    </row>
    <row r="45" spans="1:20" x14ac:dyDescent="0.25">
      <c r="A45">
        <v>24759</v>
      </c>
      <c r="B45">
        <v>1</v>
      </c>
      <c r="C45" t="s">
        <v>24</v>
      </c>
      <c r="D45" t="s">
        <v>62</v>
      </c>
      <c r="E45" t="s">
        <v>13</v>
      </c>
      <c r="F45" t="s">
        <v>147</v>
      </c>
      <c r="G45" t="s">
        <v>148</v>
      </c>
      <c r="H45">
        <v>2554</v>
      </c>
      <c r="I45">
        <v>4551221</v>
      </c>
      <c r="J45">
        <v>33</v>
      </c>
      <c r="K45" t="str">
        <f>CONCATENATE(A45,"_",B45)</f>
        <v>24759_1</v>
      </c>
      <c r="L45" t="str">
        <f>CONCATENATE(H45,I45,J45)</f>
        <v>2554455122133</v>
      </c>
      <c r="M45" t="str">
        <f>TEXT(D45,"mmm")</f>
        <v>Mar</v>
      </c>
      <c r="N45" t="str">
        <f>RIGHT(G45,6)</f>
        <v>336345</v>
      </c>
      <c r="O45" t="str">
        <f>MID(G45,4,FIND("-",G45,4)-4)</f>
        <v>Melbourne</v>
      </c>
      <c r="P45" t="str">
        <f>PROPER(CLEAN(TRIM(E45)))</f>
        <v>Inv</v>
      </c>
      <c r="Q45">
        <f>VALUE(SUBSTITUTE(SUBSTITUTE(F45,"S",""),MID(F45,2,1),""))*IF(tbl_Supplier[[#This Row],[Type]]="Cr",-1,1)</f>
        <v>644.82000000000005</v>
      </c>
      <c r="R45" s="29">
        <f>DATE(2020,MONTH(D45),RIGHT(D45,2))</f>
        <v>43892</v>
      </c>
      <c r="S45" s="29">
        <f>DATE(2020,4,RIGHT(C45,2))</f>
        <v>43934</v>
      </c>
      <c r="T45">
        <f>tbl_Supplier[[#This Row],[Paid Date]]-tbl_Supplier[[#This Row],[Invoice Date]]</f>
        <v>42</v>
      </c>
    </row>
    <row r="46" spans="1:20" x14ac:dyDescent="0.25">
      <c r="A46">
        <v>24771</v>
      </c>
      <c r="B46">
        <v>1</v>
      </c>
      <c r="C46" t="s">
        <v>68</v>
      </c>
      <c r="D46" t="s">
        <v>47</v>
      </c>
      <c r="E46" t="s">
        <v>13</v>
      </c>
      <c r="F46" t="s">
        <v>158</v>
      </c>
      <c r="G46" t="s">
        <v>159</v>
      </c>
      <c r="H46">
        <v>2554</v>
      </c>
      <c r="I46">
        <v>4551221</v>
      </c>
      <c r="J46">
        <v>33</v>
      </c>
      <c r="K46" t="str">
        <f>CONCATENATE(A46,"_",B46)</f>
        <v>24771_1</v>
      </c>
      <c r="L46" t="str">
        <f>CONCATENATE(H46,I46,J46)</f>
        <v>2554455122133</v>
      </c>
      <c r="M46" t="str">
        <f>TEXT(D46,"mmm")</f>
        <v>Mar</v>
      </c>
      <c r="N46" t="str">
        <f>RIGHT(G46,6)</f>
        <v>316436</v>
      </c>
      <c r="O46" t="str">
        <f>MID(G46,4,FIND("-",G46,4)-4)</f>
        <v>Melbourne</v>
      </c>
      <c r="P46" t="str">
        <f>PROPER(CLEAN(TRIM(E46)))</f>
        <v>Inv</v>
      </c>
      <c r="Q46">
        <f>VALUE(SUBSTITUTE(SUBSTITUTE(F46,"S",""),MID(F46,2,1),""))*IF(tbl_Supplier[[#This Row],[Type]]="Cr",-1,1)</f>
        <v>736.23</v>
      </c>
      <c r="R46" s="29">
        <f>DATE(2020,MONTH(D46),RIGHT(D46,2))</f>
        <v>43919</v>
      </c>
      <c r="S46" s="29">
        <f>DATE(2020,4,RIGHT(C46,2))</f>
        <v>43935</v>
      </c>
      <c r="T46">
        <f>tbl_Supplier[[#This Row],[Paid Date]]-tbl_Supplier[[#This Row],[Invoice Date]]</f>
        <v>16</v>
      </c>
    </row>
    <row r="47" spans="1:20" x14ac:dyDescent="0.25">
      <c r="A47">
        <v>24775</v>
      </c>
      <c r="B47">
        <v>1</v>
      </c>
      <c r="C47" t="s">
        <v>48</v>
      </c>
      <c r="D47" t="s">
        <v>160</v>
      </c>
      <c r="E47" t="s">
        <v>15</v>
      </c>
      <c r="F47" t="s">
        <v>161</v>
      </c>
      <c r="G47" t="s">
        <v>162</v>
      </c>
      <c r="H47">
        <v>2554</v>
      </c>
      <c r="I47">
        <v>4551221</v>
      </c>
      <c r="J47">
        <v>33</v>
      </c>
      <c r="K47" t="str">
        <f>CONCATENATE(A47,"_",B47)</f>
        <v>24775_1</v>
      </c>
      <c r="L47" t="str">
        <f>CONCATENATE(H47,I47,J47)</f>
        <v>2554455122133</v>
      </c>
      <c r="M47" t="str">
        <f>TEXT(D47,"mmm")</f>
        <v>Mar</v>
      </c>
      <c r="N47" t="str">
        <f>RIGHT(G47,6)</f>
        <v>312603</v>
      </c>
      <c r="O47" t="str">
        <f>MID(G47,4,FIND("-",G47,4)-4)</f>
        <v>Melbourne</v>
      </c>
      <c r="P47" t="str">
        <f>PROPER(CLEAN(TRIM(E47)))</f>
        <v>Cr</v>
      </c>
      <c r="Q47">
        <f>VALUE(SUBSTITUTE(SUBSTITUTE(F47,"S",""),MID(F47,2,1),""))*IF(tbl_Supplier[[#This Row],[Type]]="Cr",-1,1)</f>
        <v>-600.27</v>
      </c>
      <c r="R47" s="29">
        <f>DATE(2020,MONTH(D47),RIGHT(D47,2))</f>
        <v>43895</v>
      </c>
      <c r="S47" s="29">
        <f>DATE(2020,4,RIGHT(C47,2))</f>
        <v>43937</v>
      </c>
      <c r="T47">
        <f>tbl_Supplier[[#This Row],[Paid Date]]-tbl_Supplier[[#This Row],[Invoice Date]]</f>
        <v>42</v>
      </c>
    </row>
    <row r="48" spans="1:20" x14ac:dyDescent="0.25">
      <c r="A48">
        <v>24779</v>
      </c>
      <c r="B48">
        <v>1</v>
      </c>
      <c r="C48" t="s">
        <v>53</v>
      </c>
      <c r="D48" t="s">
        <v>60</v>
      </c>
      <c r="E48" t="s">
        <v>13</v>
      </c>
      <c r="F48" t="s">
        <v>163</v>
      </c>
      <c r="G48" t="s">
        <v>164</v>
      </c>
      <c r="H48">
        <v>2554</v>
      </c>
      <c r="I48">
        <v>4551221</v>
      </c>
      <c r="J48">
        <v>33</v>
      </c>
      <c r="K48" t="str">
        <f>CONCATENATE(A48,"_",B48)</f>
        <v>24779_1</v>
      </c>
      <c r="L48" t="str">
        <f>CONCATENATE(H48,I48,J48)</f>
        <v>2554455122133</v>
      </c>
      <c r="M48" t="str">
        <f>TEXT(D48,"mmm")</f>
        <v>Mar</v>
      </c>
      <c r="N48" t="str">
        <f>RIGHT(G48,6)</f>
        <v>339907</v>
      </c>
      <c r="O48" t="str">
        <f>MID(G48,4,FIND("-",G48,4)-4)</f>
        <v>Melbourne</v>
      </c>
      <c r="P48" t="str">
        <f>PROPER(CLEAN(TRIM(E48)))</f>
        <v>Inv</v>
      </c>
      <c r="Q48">
        <f>VALUE(SUBSTITUTE(SUBSTITUTE(F48,"S",""),MID(F48,2,1),""))*IF(tbl_Supplier[[#This Row],[Type]]="Cr",-1,1)</f>
        <v>480.81</v>
      </c>
      <c r="R48" s="29">
        <f>DATE(2020,MONTH(D48),RIGHT(D48,2))</f>
        <v>43907</v>
      </c>
      <c r="S48" s="29">
        <f>DATE(2020,4,RIGHT(C48,2))</f>
        <v>43929</v>
      </c>
      <c r="T48">
        <f>tbl_Supplier[[#This Row],[Paid Date]]-tbl_Supplier[[#This Row],[Invoice Date]]</f>
        <v>22</v>
      </c>
    </row>
    <row r="49" spans="1:20" x14ac:dyDescent="0.25">
      <c r="A49">
        <v>24788</v>
      </c>
      <c r="B49">
        <v>1</v>
      </c>
      <c r="C49" t="s">
        <v>54</v>
      </c>
      <c r="D49" t="s">
        <v>31</v>
      </c>
      <c r="E49" t="s">
        <v>13</v>
      </c>
      <c r="F49" t="s">
        <v>168</v>
      </c>
      <c r="G49" t="s">
        <v>148</v>
      </c>
      <c r="H49">
        <v>2554</v>
      </c>
      <c r="I49">
        <v>4551221</v>
      </c>
      <c r="J49">
        <v>33</v>
      </c>
      <c r="K49" t="str">
        <f>CONCATENATE(A49,"_",B49)</f>
        <v>24788_1</v>
      </c>
      <c r="L49" t="str">
        <f>CONCATENATE(H49,I49,J49)</f>
        <v>2554455122133</v>
      </c>
      <c r="M49" t="str">
        <f>TEXT(D49,"mmm")</f>
        <v>Mar</v>
      </c>
      <c r="N49" t="str">
        <f>RIGHT(G49,6)</f>
        <v>336345</v>
      </c>
      <c r="O49" t="str">
        <f>MID(G49,4,FIND("-",G49,4)-4)</f>
        <v>Melbourne</v>
      </c>
      <c r="P49" t="str">
        <f>PROPER(CLEAN(TRIM(E49)))</f>
        <v>Inv</v>
      </c>
      <c r="Q49">
        <f>VALUE(SUBSTITUTE(SUBSTITUTE(F49,"S",""),MID(F49,2,1),""))*IF(tbl_Supplier[[#This Row],[Type]]="Cr",-1,1)</f>
        <v>442.86</v>
      </c>
      <c r="R49" s="29">
        <f>DATE(2020,MONTH(D49),RIGHT(D49,2))</f>
        <v>43906</v>
      </c>
      <c r="S49" s="29">
        <f>DATE(2020,4,RIGHT(C49,2))</f>
        <v>43949</v>
      </c>
      <c r="T49">
        <f>tbl_Supplier[[#This Row],[Paid Date]]-tbl_Supplier[[#This Row],[Invoice Date]]</f>
        <v>43</v>
      </c>
    </row>
    <row r="50" spans="1:20" x14ac:dyDescent="0.25">
      <c r="A50">
        <v>24793</v>
      </c>
      <c r="B50">
        <v>1</v>
      </c>
      <c r="C50" t="s">
        <v>32</v>
      </c>
      <c r="D50" t="s">
        <v>160</v>
      </c>
      <c r="E50" t="s">
        <v>13</v>
      </c>
      <c r="F50" t="s">
        <v>171</v>
      </c>
      <c r="G50" t="s">
        <v>172</v>
      </c>
      <c r="H50">
        <v>2554</v>
      </c>
      <c r="I50">
        <v>4551221</v>
      </c>
      <c r="J50">
        <v>33</v>
      </c>
      <c r="K50" t="str">
        <f>CONCATENATE(A50,"_",B50)</f>
        <v>24793_1</v>
      </c>
      <c r="L50" t="str">
        <f>CONCATENATE(H50,I50,J50)</f>
        <v>2554455122133</v>
      </c>
      <c r="M50" t="str">
        <f>TEXT(D50,"mmm")</f>
        <v>Mar</v>
      </c>
      <c r="N50" t="str">
        <f>RIGHT(G50,6)</f>
        <v>331460</v>
      </c>
      <c r="O50" t="str">
        <f>MID(G50,4,FIND("-",G50,4)-4)</f>
        <v>Melbourne</v>
      </c>
      <c r="P50" t="str">
        <f>PROPER(CLEAN(TRIM(E50)))</f>
        <v>Inv</v>
      </c>
      <c r="Q50">
        <f>VALUE(SUBSTITUTE(SUBSTITUTE(F50,"S",""),MID(F50,2,1),""))*IF(tbl_Supplier[[#This Row],[Type]]="Cr",-1,1)</f>
        <v>821.37</v>
      </c>
      <c r="R50" s="29">
        <f>DATE(2020,MONTH(D50),RIGHT(D50,2))</f>
        <v>43895</v>
      </c>
      <c r="S50" s="29">
        <f>DATE(2020,4,RIGHT(C50,2))</f>
        <v>43925</v>
      </c>
      <c r="T50">
        <f>tbl_Supplier[[#This Row],[Paid Date]]-tbl_Supplier[[#This Row],[Invoice Date]]</f>
        <v>30</v>
      </c>
    </row>
    <row r="51" spans="1:20" x14ac:dyDescent="0.25">
      <c r="A51">
        <v>24803</v>
      </c>
      <c r="B51">
        <v>1</v>
      </c>
      <c r="C51" t="s">
        <v>28</v>
      </c>
      <c r="D51" t="s">
        <v>165</v>
      </c>
      <c r="E51" t="s">
        <v>13</v>
      </c>
      <c r="F51" t="s">
        <v>179</v>
      </c>
      <c r="G51" t="s">
        <v>180</v>
      </c>
      <c r="H51">
        <v>2554</v>
      </c>
      <c r="I51">
        <v>4551221</v>
      </c>
      <c r="J51">
        <v>33</v>
      </c>
      <c r="K51" t="str">
        <f>CONCATENATE(A51,"_",B51)</f>
        <v>24803_1</v>
      </c>
      <c r="L51" t="str">
        <f>CONCATENATE(H51,I51,J51)</f>
        <v>2554455122133</v>
      </c>
      <c r="M51" t="str">
        <f>TEXT(D51,"mmm")</f>
        <v>Mar</v>
      </c>
      <c r="N51" t="str">
        <f>RIGHT(G51,6)</f>
        <v>321456</v>
      </c>
      <c r="O51" t="str">
        <f>MID(G51,4,FIND("-",G51,4)-4)</f>
        <v>Melbourne</v>
      </c>
      <c r="P51" t="str">
        <f>PROPER(CLEAN(TRIM(E51)))</f>
        <v>Inv</v>
      </c>
      <c r="Q51">
        <f>VALUE(SUBSTITUTE(SUBSTITUTE(F51,"S",""),MID(F51,2,1),""))*IF(tbl_Supplier[[#This Row],[Type]]="Cr",-1,1)</f>
        <v>628.98</v>
      </c>
      <c r="R51" s="29">
        <f>DATE(2020,MONTH(D51),RIGHT(D51,2))</f>
        <v>43908</v>
      </c>
      <c r="S51" s="29">
        <f>DATE(2020,4,RIGHT(C51,2))</f>
        <v>43926</v>
      </c>
      <c r="T51">
        <f>tbl_Supplier[[#This Row],[Paid Date]]-tbl_Supplier[[#This Row],[Invoice Date]]</f>
        <v>18</v>
      </c>
    </row>
    <row r="52" spans="1:20" x14ac:dyDescent="0.25">
      <c r="A52">
        <v>24819</v>
      </c>
      <c r="B52">
        <v>1</v>
      </c>
      <c r="C52" t="s">
        <v>34</v>
      </c>
      <c r="D52" t="s">
        <v>61</v>
      </c>
      <c r="E52" t="s">
        <v>13</v>
      </c>
      <c r="F52" t="s">
        <v>187</v>
      </c>
      <c r="G52" t="s">
        <v>188</v>
      </c>
      <c r="H52">
        <v>2554</v>
      </c>
      <c r="I52">
        <v>4551221</v>
      </c>
      <c r="J52">
        <v>33</v>
      </c>
      <c r="K52" t="str">
        <f>CONCATENATE(A52,"_",B52)</f>
        <v>24819_1</v>
      </c>
      <c r="L52" t="str">
        <f>CONCATENATE(H52,I52,J52)</f>
        <v>2554455122133</v>
      </c>
      <c r="M52" t="str">
        <f>TEXT(D52,"mmm")</f>
        <v>Mar</v>
      </c>
      <c r="N52" t="str">
        <f>RIGHT(G52,6)</f>
        <v>314876</v>
      </c>
      <c r="O52" t="str">
        <f>MID(G52,4,FIND("-",G52,4)-4)</f>
        <v>Melbourne</v>
      </c>
      <c r="P52" t="str">
        <f>PROPER(CLEAN(TRIM(E52)))</f>
        <v>Inv</v>
      </c>
      <c r="Q52">
        <f>VALUE(SUBSTITUTE(SUBSTITUTE(F52,"S",""),MID(F52,2,1),""))*IF(tbl_Supplier[[#This Row],[Type]]="Cr",-1,1)</f>
        <v>417.12</v>
      </c>
      <c r="R52" s="29">
        <f>DATE(2020,MONTH(D52),RIGHT(D52,2))</f>
        <v>43914</v>
      </c>
      <c r="S52" s="29">
        <f>DATE(2020,4,RIGHT(C52,2))</f>
        <v>43928</v>
      </c>
      <c r="T52">
        <f>tbl_Supplier[[#This Row],[Paid Date]]-tbl_Supplier[[#This Row],[Invoice Date]]</f>
        <v>14</v>
      </c>
    </row>
    <row r="53" spans="1:20" x14ac:dyDescent="0.25">
      <c r="A53">
        <v>24824</v>
      </c>
      <c r="B53">
        <v>1</v>
      </c>
      <c r="C53" t="s">
        <v>68</v>
      </c>
      <c r="D53" t="s">
        <v>165</v>
      </c>
      <c r="E53" t="s">
        <v>13</v>
      </c>
      <c r="F53" t="s">
        <v>191</v>
      </c>
      <c r="G53" t="s">
        <v>192</v>
      </c>
      <c r="H53">
        <v>2554</v>
      </c>
      <c r="I53">
        <v>4551221</v>
      </c>
      <c r="J53">
        <v>33</v>
      </c>
      <c r="K53" t="str">
        <f>CONCATENATE(A53,"_",B53)</f>
        <v>24824_1</v>
      </c>
      <c r="L53" t="str">
        <f>CONCATENATE(H53,I53,J53)</f>
        <v>2554455122133</v>
      </c>
      <c r="M53" t="str">
        <f>TEXT(D53,"mmm")</f>
        <v>Mar</v>
      </c>
      <c r="N53" t="str">
        <f>RIGHT(G53,6)</f>
        <v>319833</v>
      </c>
      <c r="O53" t="str">
        <f>MID(G53,4,FIND("-",G53,4)-4)</f>
        <v>Melbourne</v>
      </c>
      <c r="P53" t="str">
        <f>PROPER(CLEAN(TRIM(E53)))</f>
        <v>Inv</v>
      </c>
      <c r="Q53">
        <f>VALUE(SUBSTITUTE(SUBSTITUTE(F53,"S",""),MID(F53,2,1),""))*IF(tbl_Supplier[[#This Row],[Type]]="Cr",-1,1)</f>
        <v>1061.94</v>
      </c>
      <c r="R53" s="29">
        <f>DATE(2020,MONTH(D53),RIGHT(D53,2))</f>
        <v>43908</v>
      </c>
      <c r="S53" s="29">
        <f>DATE(2020,4,RIGHT(C53,2))</f>
        <v>43935</v>
      </c>
      <c r="T53">
        <f>tbl_Supplier[[#This Row],[Paid Date]]-tbl_Supplier[[#This Row],[Invoice Date]]</f>
        <v>27</v>
      </c>
    </row>
    <row r="54" spans="1:20" x14ac:dyDescent="0.25">
      <c r="A54">
        <v>24825</v>
      </c>
      <c r="B54">
        <v>1</v>
      </c>
      <c r="C54" t="s">
        <v>33</v>
      </c>
      <c r="D54" t="s">
        <v>39</v>
      </c>
      <c r="E54" t="s">
        <v>13</v>
      </c>
      <c r="F54" t="s">
        <v>193</v>
      </c>
      <c r="G54" t="s">
        <v>194</v>
      </c>
      <c r="H54">
        <v>2554</v>
      </c>
      <c r="I54">
        <v>4551221</v>
      </c>
      <c r="J54">
        <v>33</v>
      </c>
      <c r="K54" t="str">
        <f>CONCATENATE(A54,"_",B54)</f>
        <v>24825_1</v>
      </c>
      <c r="L54" t="str">
        <f>CONCATENATE(H54,I54,J54)</f>
        <v>2554455122133</v>
      </c>
      <c r="M54" t="str">
        <f>TEXT(D54,"mmm")</f>
        <v>Mar</v>
      </c>
      <c r="N54" t="str">
        <f>RIGHT(G54,6)</f>
        <v>310345</v>
      </c>
      <c r="O54" t="str">
        <f>MID(G54,4,FIND("-",G54,4)-4)</f>
        <v>Melbourne</v>
      </c>
      <c r="P54" t="str">
        <f>PROPER(CLEAN(TRIM(E54)))</f>
        <v>Inv</v>
      </c>
      <c r="Q54">
        <f>VALUE(SUBSTITUTE(SUBSTITUTE(F54,"S",""),MID(F54,2,1),""))*IF(tbl_Supplier[[#This Row],[Type]]="Cr",-1,1)</f>
        <v>602.58000000000004</v>
      </c>
      <c r="R54" s="29">
        <f>DATE(2020,MONTH(D54),RIGHT(D54,2))</f>
        <v>43912</v>
      </c>
      <c r="S54" s="29">
        <f>DATE(2020,4,RIGHT(C54,2))</f>
        <v>43927</v>
      </c>
      <c r="T54">
        <f>tbl_Supplier[[#This Row],[Paid Date]]-tbl_Supplier[[#This Row],[Invoice Date]]</f>
        <v>15</v>
      </c>
    </row>
    <row r="55" spans="1:20" x14ac:dyDescent="0.25">
      <c r="A55">
        <v>24831</v>
      </c>
      <c r="B55">
        <v>1</v>
      </c>
      <c r="C55" t="s">
        <v>32</v>
      </c>
      <c r="D55" t="s">
        <v>52</v>
      </c>
      <c r="E55" t="s">
        <v>13</v>
      </c>
      <c r="F55" t="s">
        <v>197</v>
      </c>
      <c r="G55" t="s">
        <v>198</v>
      </c>
      <c r="H55">
        <v>2554</v>
      </c>
      <c r="I55">
        <v>4551221</v>
      </c>
      <c r="J55">
        <v>33</v>
      </c>
      <c r="K55" t="str">
        <f>CONCATENATE(A55,"_",B55)</f>
        <v>24831_1</v>
      </c>
      <c r="L55" t="str">
        <f>CONCATENATE(H55,I55,J55)</f>
        <v>2554455122133</v>
      </c>
      <c r="M55" t="str">
        <f>TEXT(D55,"mmm")</f>
        <v>Mar</v>
      </c>
      <c r="N55" t="str">
        <f>RIGHT(G55,6)</f>
        <v>313747</v>
      </c>
      <c r="O55" t="str">
        <f>MID(G55,4,FIND("-",G55,4)-4)</f>
        <v>Melbourne</v>
      </c>
      <c r="P55" t="str">
        <f>PROPER(CLEAN(TRIM(E55)))</f>
        <v>Inv</v>
      </c>
      <c r="Q55">
        <f>VALUE(SUBSTITUTE(SUBSTITUTE(F55,"S",""),MID(F55,2,1),""))*IF(tbl_Supplier[[#This Row],[Type]]="Cr",-1,1)</f>
        <v>56.43</v>
      </c>
      <c r="R55" s="29">
        <f>DATE(2020,MONTH(D55),RIGHT(D55,2))</f>
        <v>43896</v>
      </c>
      <c r="S55" s="29">
        <f>DATE(2020,4,RIGHT(C55,2))</f>
        <v>43925</v>
      </c>
      <c r="T55">
        <f>tbl_Supplier[[#This Row],[Paid Date]]-tbl_Supplier[[#This Row],[Invoice Date]]</f>
        <v>29</v>
      </c>
    </row>
    <row r="56" spans="1:20" x14ac:dyDescent="0.25">
      <c r="A56">
        <v>24847</v>
      </c>
      <c r="B56">
        <v>1</v>
      </c>
      <c r="C56" t="s">
        <v>56</v>
      </c>
      <c r="D56" t="s">
        <v>38</v>
      </c>
      <c r="E56" t="s">
        <v>13</v>
      </c>
      <c r="F56" t="s">
        <v>206</v>
      </c>
      <c r="G56" t="s">
        <v>207</v>
      </c>
      <c r="H56">
        <v>2554</v>
      </c>
      <c r="I56">
        <v>4551221</v>
      </c>
      <c r="J56">
        <v>33</v>
      </c>
      <c r="K56" t="str">
        <f>CONCATENATE(A56,"_",B56)</f>
        <v>24847_1</v>
      </c>
      <c r="L56" t="str">
        <f>CONCATENATE(H56,I56,J56)</f>
        <v>2554455122133</v>
      </c>
      <c r="M56" t="str">
        <f>TEXT(D56,"mmm")</f>
        <v>Mar</v>
      </c>
      <c r="N56" t="str">
        <f>RIGHT(G56,6)</f>
        <v>338938</v>
      </c>
      <c r="O56" t="str">
        <f>MID(G56,4,FIND("-",G56,4)-4)</f>
        <v>Melbourne</v>
      </c>
      <c r="P56" t="str">
        <f>PROPER(CLEAN(TRIM(E56)))</f>
        <v>Inv</v>
      </c>
      <c r="Q56">
        <f>VALUE(SUBSTITUTE(SUBSTITUTE(F56,"S",""),MID(F56,2,1),""))*IF(tbl_Supplier[[#This Row],[Type]]="Cr",-1,1)</f>
        <v>1000.23</v>
      </c>
      <c r="R56" s="29">
        <f>DATE(2020,MONTH(D56),RIGHT(D56,2))</f>
        <v>43905</v>
      </c>
      <c r="S56" s="29">
        <f>DATE(2020,4,RIGHT(C56,2))</f>
        <v>43943</v>
      </c>
      <c r="T56">
        <f>tbl_Supplier[[#This Row],[Paid Date]]-tbl_Supplier[[#This Row],[Invoice Date]]</f>
        <v>38</v>
      </c>
    </row>
    <row r="57" spans="1:20" x14ac:dyDescent="0.25">
      <c r="A57">
        <v>24851</v>
      </c>
      <c r="B57">
        <v>1</v>
      </c>
      <c r="C57" t="s">
        <v>44</v>
      </c>
      <c r="D57" t="s">
        <v>63</v>
      </c>
      <c r="E57" t="s">
        <v>13</v>
      </c>
      <c r="F57" t="s">
        <v>208</v>
      </c>
      <c r="G57" t="s">
        <v>209</v>
      </c>
      <c r="H57">
        <v>2554</v>
      </c>
      <c r="I57">
        <v>4551221</v>
      </c>
      <c r="J57">
        <v>33</v>
      </c>
      <c r="K57" t="str">
        <f>CONCATENATE(A57,"_",B57)</f>
        <v>24851_1</v>
      </c>
      <c r="L57" t="str">
        <f>CONCATENATE(H57,I57,J57)</f>
        <v>2554455122133</v>
      </c>
      <c r="M57" t="str">
        <f>TEXT(D57,"mmm")</f>
        <v>Mar</v>
      </c>
      <c r="N57" t="str">
        <f>RIGHT(G57,6)</f>
        <v>320536</v>
      </c>
      <c r="O57" t="str">
        <f>MID(G57,4,FIND("-",G57,4)-4)</f>
        <v>Melbourne</v>
      </c>
      <c r="P57" t="str">
        <f>PROPER(CLEAN(TRIM(E57)))</f>
        <v>Inv</v>
      </c>
      <c r="Q57">
        <f>VALUE(SUBSTITUTE(SUBSTITUTE(F57,"S",""),MID(F57,2,1),""))*IF(tbl_Supplier[[#This Row],[Type]]="Cr",-1,1)</f>
        <v>948.75</v>
      </c>
      <c r="R57" s="29">
        <f>DATE(2020,MONTH(D57),RIGHT(D57,2))</f>
        <v>43918</v>
      </c>
      <c r="S57" s="29">
        <f>DATE(2020,4,RIGHT(C57,2))</f>
        <v>43939</v>
      </c>
      <c r="T57">
        <f>tbl_Supplier[[#This Row],[Paid Date]]-tbl_Supplier[[#This Row],[Invoice Date]]</f>
        <v>21</v>
      </c>
    </row>
    <row r="58" spans="1:20" x14ac:dyDescent="0.25">
      <c r="A58">
        <v>24854</v>
      </c>
      <c r="B58">
        <v>1</v>
      </c>
      <c r="C58" t="s">
        <v>48</v>
      </c>
      <c r="D58" t="s">
        <v>57</v>
      </c>
      <c r="E58" t="s">
        <v>13</v>
      </c>
      <c r="F58" t="s">
        <v>210</v>
      </c>
      <c r="G58" t="s">
        <v>211</v>
      </c>
      <c r="H58">
        <v>2554</v>
      </c>
      <c r="I58">
        <v>4551221</v>
      </c>
      <c r="J58">
        <v>33</v>
      </c>
      <c r="K58" t="str">
        <f>CONCATENATE(A58,"_",B58)</f>
        <v>24854_1</v>
      </c>
      <c r="L58" t="str">
        <f>CONCATENATE(H58,I58,J58)</f>
        <v>2554455122133</v>
      </c>
      <c r="M58" t="str">
        <f>TEXT(D58,"mmm")</f>
        <v>Mar</v>
      </c>
      <c r="N58" t="str">
        <f>RIGHT(G58,6)</f>
        <v>322800</v>
      </c>
      <c r="O58" t="str">
        <f>MID(G58,4,FIND("-",G58,4)-4)</f>
        <v>Melbourne</v>
      </c>
      <c r="P58" t="str">
        <f>PROPER(CLEAN(TRIM(E58)))</f>
        <v>Inv</v>
      </c>
      <c r="Q58">
        <f>VALUE(SUBSTITUTE(SUBSTITUTE(F58,"S",""),MID(F58,2,1),""))*IF(tbl_Supplier[[#This Row],[Type]]="Cr",-1,1)</f>
        <v>446.49</v>
      </c>
      <c r="R58" s="29">
        <f>DATE(2020,MONTH(D58),RIGHT(D58,2))</f>
        <v>43904</v>
      </c>
      <c r="S58" s="29">
        <f>DATE(2020,4,RIGHT(C58,2))</f>
        <v>43937</v>
      </c>
      <c r="T58">
        <f>tbl_Supplier[[#This Row],[Paid Date]]-tbl_Supplier[[#This Row],[Invoice Date]]</f>
        <v>33</v>
      </c>
    </row>
    <row r="59" spans="1:20" x14ac:dyDescent="0.25">
      <c r="A59">
        <v>24863</v>
      </c>
      <c r="B59">
        <v>1</v>
      </c>
      <c r="C59" t="s">
        <v>50</v>
      </c>
      <c r="D59" t="s">
        <v>38</v>
      </c>
      <c r="E59" t="s">
        <v>13</v>
      </c>
      <c r="F59" t="s">
        <v>217</v>
      </c>
      <c r="G59" t="s">
        <v>218</v>
      </c>
      <c r="H59">
        <v>2554</v>
      </c>
      <c r="I59">
        <v>4551221</v>
      </c>
      <c r="J59">
        <v>33</v>
      </c>
      <c r="K59" t="str">
        <f>CONCATENATE(A59,"_",B59)</f>
        <v>24863_1</v>
      </c>
      <c r="L59" t="str">
        <f>CONCATENATE(H59,I59,J59)</f>
        <v>2554455122133</v>
      </c>
      <c r="M59" t="str">
        <f>TEXT(D59,"mmm")</f>
        <v>Mar</v>
      </c>
      <c r="N59" t="str">
        <f>RIGHT(G59,6)</f>
        <v>327938</v>
      </c>
      <c r="O59" t="str">
        <f>MID(G59,4,FIND("-",G59,4)-4)</f>
        <v>Melbourne</v>
      </c>
      <c r="P59" t="str">
        <f>PROPER(CLEAN(TRIM(E59)))</f>
        <v>Inv</v>
      </c>
      <c r="Q59">
        <f>VALUE(SUBSTITUTE(SUBSTITUTE(F59,"S",""),MID(F59,2,1),""))*IF(tbl_Supplier[[#This Row],[Type]]="Cr",-1,1)</f>
        <v>546.80999999999995</v>
      </c>
      <c r="R59" s="29">
        <f>DATE(2020,MONTH(D59),RIGHT(D59,2))</f>
        <v>43905</v>
      </c>
      <c r="S59" s="29">
        <f>DATE(2020,4,RIGHT(C59,2))</f>
        <v>43942</v>
      </c>
      <c r="T59">
        <f>tbl_Supplier[[#This Row],[Paid Date]]-tbl_Supplier[[#This Row],[Invoice Date]]</f>
        <v>37</v>
      </c>
    </row>
    <row r="60" spans="1:20" x14ac:dyDescent="0.25">
      <c r="A60">
        <v>24880</v>
      </c>
      <c r="B60">
        <v>1</v>
      </c>
      <c r="C60" t="s">
        <v>56</v>
      </c>
      <c r="D60" t="s">
        <v>27</v>
      </c>
      <c r="E60" t="s">
        <v>13</v>
      </c>
      <c r="F60" t="s">
        <v>232</v>
      </c>
      <c r="G60" t="s">
        <v>233</v>
      </c>
      <c r="H60">
        <v>2554</v>
      </c>
      <c r="I60">
        <v>4551221</v>
      </c>
      <c r="J60">
        <v>33</v>
      </c>
      <c r="K60" t="str">
        <f>CONCATENATE(A60,"_",B60)</f>
        <v>24880_1</v>
      </c>
      <c r="L60" t="str">
        <f>CONCATENATE(H60,I60,J60)</f>
        <v>2554455122133</v>
      </c>
      <c r="M60" t="str">
        <f>TEXT(D60,"mmm")</f>
        <v>Mar</v>
      </c>
      <c r="N60" t="str">
        <f>RIGHT(G60,6)</f>
        <v>338807</v>
      </c>
      <c r="O60" t="str">
        <f>MID(G60,4,FIND("-",G60,4)-4)</f>
        <v>Melbourne</v>
      </c>
      <c r="P60" t="str">
        <f>PROPER(CLEAN(TRIM(E60)))</f>
        <v>Inv</v>
      </c>
      <c r="Q60">
        <f>VALUE(SUBSTITUTE(SUBSTITUTE(F60,"S",""),MID(F60,2,1),""))*IF(tbl_Supplier[[#This Row],[Type]]="Cr",-1,1)</f>
        <v>424.38</v>
      </c>
      <c r="R60" s="29">
        <f>DATE(2020,MONTH(D60),RIGHT(D60,2))</f>
        <v>43901</v>
      </c>
      <c r="S60" s="29">
        <f>DATE(2020,4,RIGHT(C60,2))</f>
        <v>43943</v>
      </c>
      <c r="T60">
        <f>tbl_Supplier[[#This Row],[Paid Date]]-tbl_Supplier[[#This Row],[Invoice Date]]</f>
        <v>42</v>
      </c>
    </row>
    <row r="61" spans="1:20" x14ac:dyDescent="0.25">
      <c r="A61">
        <v>24893</v>
      </c>
      <c r="B61">
        <v>1</v>
      </c>
      <c r="C61" t="s">
        <v>45</v>
      </c>
      <c r="D61" t="s">
        <v>47</v>
      </c>
      <c r="E61" t="s">
        <v>13</v>
      </c>
      <c r="F61" t="s">
        <v>243</v>
      </c>
      <c r="G61" t="s">
        <v>244</v>
      </c>
      <c r="H61">
        <v>2554</v>
      </c>
      <c r="I61">
        <v>4551221</v>
      </c>
      <c r="J61">
        <v>33</v>
      </c>
      <c r="K61" t="str">
        <f>CONCATENATE(A61,"_",B61)</f>
        <v>24893_1</v>
      </c>
      <c r="L61" t="str">
        <f>CONCATENATE(H61,I61,J61)</f>
        <v>2554455122133</v>
      </c>
      <c r="M61" t="str">
        <f>TEXT(D61,"mmm")</f>
        <v>Mar</v>
      </c>
      <c r="N61" t="str">
        <f>RIGHT(G61,6)</f>
        <v>326543</v>
      </c>
      <c r="O61" t="str">
        <f>MID(G61,4,FIND("-",G61,4)-4)</f>
        <v>Melbourne</v>
      </c>
      <c r="P61" t="str">
        <f>PROPER(CLEAN(TRIM(E61)))</f>
        <v>Inv</v>
      </c>
      <c r="Q61">
        <f>VALUE(SUBSTITUTE(SUBSTITUTE(F61,"S",""),MID(F61,2,1),""))*IF(tbl_Supplier[[#This Row],[Type]]="Cr",-1,1)</f>
        <v>446.16</v>
      </c>
      <c r="R61" s="29">
        <f>DATE(2020,MONTH(D61),RIGHT(D61,2))</f>
        <v>43919</v>
      </c>
      <c r="S61" s="29">
        <f>DATE(2020,4,RIGHT(C61,2))</f>
        <v>43933</v>
      </c>
      <c r="T61">
        <f>tbl_Supplier[[#This Row],[Paid Date]]-tbl_Supplier[[#This Row],[Invoice Date]]</f>
        <v>14</v>
      </c>
    </row>
    <row r="62" spans="1:20" x14ac:dyDescent="0.25">
      <c r="A62">
        <v>24898</v>
      </c>
      <c r="B62">
        <v>1</v>
      </c>
      <c r="C62" t="s">
        <v>22</v>
      </c>
      <c r="D62" t="s">
        <v>23</v>
      </c>
      <c r="E62" t="s">
        <v>13</v>
      </c>
      <c r="F62" t="s">
        <v>245</v>
      </c>
      <c r="G62" t="s">
        <v>246</v>
      </c>
      <c r="H62">
        <v>2554</v>
      </c>
      <c r="I62">
        <v>4551221</v>
      </c>
      <c r="J62">
        <v>33</v>
      </c>
      <c r="K62" t="str">
        <f>CONCATENATE(A62,"_",B62)</f>
        <v>24898_1</v>
      </c>
      <c r="L62" t="str">
        <f>CONCATENATE(H62,I62,J62)</f>
        <v>2554455122133</v>
      </c>
      <c r="M62" t="str">
        <f>TEXT(D62,"mmm")</f>
        <v>Mar</v>
      </c>
      <c r="N62" t="str">
        <f>RIGHT(G62,6)</f>
        <v>338553</v>
      </c>
      <c r="O62" t="str">
        <f>MID(G62,4,FIND("-",G62,4)-4)</f>
        <v>Melbourne</v>
      </c>
      <c r="P62" t="str">
        <f>PROPER(CLEAN(TRIM(E62)))</f>
        <v>Inv</v>
      </c>
      <c r="Q62">
        <f>VALUE(SUBSTITUTE(SUBSTITUTE(F62,"S",""),MID(F62,2,1),""))*IF(tbl_Supplier[[#This Row],[Type]]="Cr",-1,1)</f>
        <v>1032.24</v>
      </c>
      <c r="R62" s="29">
        <f>DATE(2020,MONTH(D62),RIGHT(D62,2))</f>
        <v>43898</v>
      </c>
      <c r="S62" s="29">
        <f>DATE(2020,4,RIGHT(C62,2))</f>
        <v>43941</v>
      </c>
      <c r="T62">
        <f>tbl_Supplier[[#This Row],[Paid Date]]-tbl_Supplier[[#This Row],[Invoice Date]]</f>
        <v>43</v>
      </c>
    </row>
    <row r="63" spans="1:20" x14ac:dyDescent="0.25">
      <c r="A63">
        <v>24673</v>
      </c>
      <c r="B63">
        <v>1</v>
      </c>
      <c r="C63" t="s">
        <v>66</v>
      </c>
      <c r="D63" t="s">
        <v>71</v>
      </c>
      <c r="E63" t="s">
        <v>12</v>
      </c>
      <c r="F63" t="s">
        <v>73</v>
      </c>
      <c r="G63" t="s">
        <v>74</v>
      </c>
      <c r="H63">
        <v>1641</v>
      </c>
      <c r="I63">
        <v>7654320</v>
      </c>
      <c r="J63">
        <v>72</v>
      </c>
      <c r="K63" t="str">
        <f>CONCATENATE(A63,"_",B63)</f>
        <v>24673_1</v>
      </c>
      <c r="L63" t="str">
        <f>CONCATENATE(H63,I63,J63)</f>
        <v>1641765432072</v>
      </c>
      <c r="M63" s="31" t="str">
        <f>TEXT(D63,"mmm")</f>
        <v>Mar</v>
      </c>
      <c r="N63" t="str">
        <f>RIGHT(G63,6)</f>
        <v>223809</v>
      </c>
      <c r="O63" t="str">
        <f>MID(G63,4,FIND("-",G63,4)-4)</f>
        <v>Sydney</v>
      </c>
      <c r="P63" t="str">
        <f>PROPER(CLEAN(TRIM(E63)))</f>
        <v>Inv</v>
      </c>
      <c r="Q63">
        <f>VALUE(SUBSTITUTE(SUBSTITUTE(F63,"S",""),MID(F63,2,1),""))*IF(tbl_Supplier[[#This Row],[Type]]="Cr",-1,1)</f>
        <v>742.5</v>
      </c>
      <c r="R63" s="29">
        <f>DATE(2020,MONTH(D63),RIGHT(D63,2))</f>
        <v>43913</v>
      </c>
      <c r="S63" s="29">
        <f>DATE(2020,4,RIGHT(C63,2))</f>
        <v>43938</v>
      </c>
      <c r="T63">
        <f>tbl_Supplier[[#This Row],[Paid Date]]-tbl_Supplier[[#This Row],[Invoice Date]]</f>
        <v>25</v>
      </c>
    </row>
    <row r="64" spans="1:20" x14ac:dyDescent="0.25">
      <c r="A64">
        <v>24680</v>
      </c>
      <c r="B64">
        <v>1</v>
      </c>
      <c r="C64" t="s">
        <v>68</v>
      </c>
      <c r="D64" t="s">
        <v>69</v>
      </c>
      <c r="E64" t="s">
        <v>13</v>
      </c>
      <c r="F64" t="s">
        <v>59</v>
      </c>
      <c r="G64" t="s">
        <v>88</v>
      </c>
      <c r="H64">
        <v>1641</v>
      </c>
      <c r="I64">
        <v>7654320</v>
      </c>
      <c r="J64">
        <v>72</v>
      </c>
      <c r="K64" t="str">
        <f>CONCATENATE(A64,"_",B64)</f>
        <v>24680_1</v>
      </c>
      <c r="L64" t="str">
        <f>CONCATENATE(H64,I64,J64)</f>
        <v>1641765432072</v>
      </c>
      <c r="M64" t="str">
        <f>TEXT(D64,"mmm")</f>
        <v>Mar</v>
      </c>
      <c r="N64" t="str">
        <f>RIGHT(G64,6)</f>
        <v>226225</v>
      </c>
      <c r="O64" t="str">
        <f>MID(G64,4,FIND("-",G64,4)-4)</f>
        <v>Sydney</v>
      </c>
      <c r="P64" t="str">
        <f>PROPER(CLEAN(TRIM(E64)))</f>
        <v>Inv</v>
      </c>
      <c r="Q64">
        <f>VALUE(SUBSTITUTE(SUBSTITUTE(F64,"S",""),MID(F64,2,1),""))*IF(tbl_Supplier[[#This Row],[Type]]="Cr",-1,1)</f>
        <v>466.29</v>
      </c>
      <c r="R64" s="29">
        <f>DATE(2020,MONTH(D64),RIGHT(D64,2))</f>
        <v>43917</v>
      </c>
      <c r="S64" s="29">
        <f>DATE(2020,4,RIGHT(C64,2))</f>
        <v>43935</v>
      </c>
      <c r="T64">
        <f>tbl_Supplier[[#This Row],[Paid Date]]-tbl_Supplier[[#This Row],[Invoice Date]]</f>
        <v>18</v>
      </c>
    </row>
    <row r="65" spans="1:20" x14ac:dyDescent="0.25">
      <c r="A65">
        <v>24683</v>
      </c>
      <c r="B65">
        <v>1</v>
      </c>
      <c r="C65" t="s">
        <v>89</v>
      </c>
      <c r="D65" t="s">
        <v>39</v>
      </c>
      <c r="E65" t="s">
        <v>13</v>
      </c>
      <c r="F65" t="s">
        <v>90</v>
      </c>
      <c r="G65" t="s">
        <v>91</v>
      </c>
      <c r="H65">
        <v>1641</v>
      </c>
      <c r="I65">
        <v>7654320</v>
      </c>
      <c r="J65">
        <v>72</v>
      </c>
      <c r="K65" t="str">
        <f>CONCATENATE(A65,"_",B65)</f>
        <v>24683_1</v>
      </c>
      <c r="L65" t="str">
        <f>CONCATENATE(H65,I65,J65)</f>
        <v>1641765432072</v>
      </c>
      <c r="M65" t="str">
        <f>TEXT(D65,"mmm")</f>
        <v>Mar</v>
      </c>
      <c r="N65" t="str">
        <f>RIGHT(G65,6)</f>
        <v>223858</v>
      </c>
      <c r="O65" t="str">
        <f>MID(G65,4,FIND("-",G65,4)-4)</f>
        <v>Sydney</v>
      </c>
      <c r="P65" t="str">
        <f>PROPER(CLEAN(TRIM(E65)))</f>
        <v>Inv</v>
      </c>
      <c r="Q65">
        <f>VALUE(SUBSTITUTE(SUBSTITUTE(F65,"S",""),MID(F65,2,1),""))*IF(tbl_Supplier[[#This Row],[Type]]="Cr",-1,1)</f>
        <v>222.42</v>
      </c>
      <c r="R65" s="29">
        <f>DATE(2020,MONTH(D65),RIGHT(D65,2))</f>
        <v>43912</v>
      </c>
      <c r="S65" s="29">
        <f>DATE(2020,4,RIGHT(C65,2))</f>
        <v>43948</v>
      </c>
      <c r="T65">
        <f>tbl_Supplier[[#This Row],[Paid Date]]-tbl_Supplier[[#This Row],[Invoice Date]]</f>
        <v>36</v>
      </c>
    </row>
    <row r="66" spans="1:20" x14ac:dyDescent="0.25">
      <c r="A66">
        <v>24685</v>
      </c>
      <c r="B66">
        <v>1</v>
      </c>
      <c r="C66" t="s">
        <v>51</v>
      </c>
      <c r="D66" t="s">
        <v>92</v>
      </c>
      <c r="E66" t="s">
        <v>12</v>
      </c>
      <c r="F66" t="s">
        <v>93</v>
      </c>
      <c r="G66" t="s">
        <v>94</v>
      </c>
      <c r="H66">
        <v>1641</v>
      </c>
      <c r="I66">
        <v>7654320</v>
      </c>
      <c r="J66">
        <v>72</v>
      </c>
      <c r="K66" t="str">
        <f>CONCATENATE(A66,"_",B66)</f>
        <v>24685_1</v>
      </c>
      <c r="L66" t="str">
        <f>CONCATENATE(H66,I66,J66)</f>
        <v>1641765432072</v>
      </c>
      <c r="M66" t="str">
        <f>TEXT(D66,"mmm")</f>
        <v>Mar</v>
      </c>
      <c r="N66" t="str">
        <f>RIGHT(G66,6)</f>
        <v>211781</v>
      </c>
      <c r="O66" t="str">
        <f>MID(G66,4,FIND("-",G66,4)-4)</f>
        <v>Sydney</v>
      </c>
      <c r="P66" t="str">
        <f>PROPER(CLEAN(TRIM(E66)))</f>
        <v>Inv</v>
      </c>
      <c r="Q66">
        <f>VALUE(SUBSTITUTE(SUBSTITUTE(F66,"S",""),MID(F66,2,1),""))*IF(tbl_Supplier[[#This Row],[Type]]="Cr",-1,1)</f>
        <v>679.8</v>
      </c>
      <c r="R66" s="29">
        <f>DATE(2020,MONTH(D66),RIGHT(D66,2))</f>
        <v>43899</v>
      </c>
      <c r="S66" s="29">
        <f>DATE(2020,4,RIGHT(C66,2))</f>
        <v>43932</v>
      </c>
      <c r="T66">
        <f>tbl_Supplier[[#This Row],[Paid Date]]-tbl_Supplier[[#This Row],[Invoice Date]]</f>
        <v>33</v>
      </c>
    </row>
    <row r="67" spans="1:20" x14ac:dyDescent="0.25">
      <c r="A67">
        <v>24712</v>
      </c>
      <c r="B67">
        <v>1</v>
      </c>
      <c r="C67" t="s">
        <v>83</v>
      </c>
      <c r="D67" t="s">
        <v>39</v>
      </c>
      <c r="E67" t="s">
        <v>12</v>
      </c>
      <c r="F67" t="s">
        <v>111</v>
      </c>
      <c r="G67" t="s">
        <v>112</v>
      </c>
      <c r="H67">
        <v>1641</v>
      </c>
      <c r="I67">
        <v>7654320</v>
      </c>
      <c r="J67">
        <v>72</v>
      </c>
      <c r="K67" t="str">
        <f>CONCATENATE(A67,"_",B67)</f>
        <v>24712_1</v>
      </c>
      <c r="L67" t="str">
        <f>CONCATENATE(H67,I67,J67)</f>
        <v>1641765432072</v>
      </c>
      <c r="M67" t="str">
        <f>TEXT(D67,"mmm")</f>
        <v>Mar</v>
      </c>
      <c r="N67" t="str">
        <f>RIGHT(G67,6)</f>
        <v>231320</v>
      </c>
      <c r="O67" t="str">
        <f>MID(G67,4,FIND("-",G67,4)-4)</f>
        <v>Sydney</v>
      </c>
      <c r="P67" t="str">
        <f>PROPER(CLEAN(TRIM(E67)))</f>
        <v>Inv</v>
      </c>
      <c r="Q67">
        <f>VALUE(SUBSTITUTE(SUBSTITUTE(F67,"S",""),MID(F67,2,1),""))*IF(tbl_Supplier[[#This Row],[Type]]="Cr",-1,1)</f>
        <v>312.83999999999997</v>
      </c>
      <c r="R67" s="29">
        <f>DATE(2020,MONTH(D67),RIGHT(D67,2))</f>
        <v>43912</v>
      </c>
      <c r="S67" s="29">
        <f>DATE(2020,4,RIGHT(C67,2))</f>
        <v>43951</v>
      </c>
      <c r="T67">
        <f>tbl_Supplier[[#This Row],[Paid Date]]-tbl_Supplier[[#This Row],[Invoice Date]]</f>
        <v>39</v>
      </c>
    </row>
    <row r="68" spans="1:20" x14ac:dyDescent="0.25">
      <c r="A68">
        <v>24717</v>
      </c>
      <c r="B68">
        <v>1</v>
      </c>
      <c r="C68" t="s">
        <v>28</v>
      </c>
      <c r="D68" t="s">
        <v>57</v>
      </c>
      <c r="E68" t="s">
        <v>13</v>
      </c>
      <c r="F68" t="s">
        <v>113</v>
      </c>
      <c r="G68" t="s">
        <v>114</v>
      </c>
      <c r="H68">
        <v>1641</v>
      </c>
      <c r="I68">
        <v>7654320</v>
      </c>
      <c r="J68">
        <v>72</v>
      </c>
      <c r="K68" t="str">
        <f>CONCATENATE(A68,"_",B68)</f>
        <v>24717_1</v>
      </c>
      <c r="L68" t="str">
        <f>CONCATENATE(H68,I68,J68)</f>
        <v>1641765432072</v>
      </c>
      <c r="M68" t="str">
        <f>TEXT(D68,"mmm")</f>
        <v>Mar</v>
      </c>
      <c r="N68" t="str">
        <f>RIGHT(G68,6)</f>
        <v>213670</v>
      </c>
      <c r="O68" t="str">
        <f>MID(G68,4,FIND("-",G68,4)-4)</f>
        <v>Sydney</v>
      </c>
      <c r="P68" t="str">
        <f>PROPER(CLEAN(TRIM(E68)))</f>
        <v>Inv</v>
      </c>
      <c r="Q68">
        <f>VALUE(SUBSTITUTE(SUBSTITUTE(F68,"S",""),MID(F68,2,1),""))*IF(tbl_Supplier[[#This Row],[Type]]="Cr",-1,1)</f>
        <v>993.63</v>
      </c>
      <c r="R68" s="29">
        <f>DATE(2020,MONTH(D68),RIGHT(D68,2))</f>
        <v>43904</v>
      </c>
      <c r="S68" s="29">
        <f>DATE(2020,4,RIGHT(C68,2))</f>
        <v>43926</v>
      </c>
      <c r="T68">
        <f>tbl_Supplier[[#This Row],[Paid Date]]-tbl_Supplier[[#This Row],[Invoice Date]]</f>
        <v>22</v>
      </c>
    </row>
    <row r="69" spans="1:20" x14ac:dyDescent="0.25">
      <c r="A69">
        <v>24722</v>
      </c>
      <c r="B69">
        <v>1</v>
      </c>
      <c r="C69" t="s">
        <v>35</v>
      </c>
      <c r="D69" t="s">
        <v>69</v>
      </c>
      <c r="E69" t="s">
        <v>13</v>
      </c>
      <c r="F69" t="s">
        <v>115</v>
      </c>
      <c r="G69" t="s">
        <v>116</v>
      </c>
      <c r="H69">
        <v>1641</v>
      </c>
      <c r="I69">
        <v>7654320</v>
      </c>
      <c r="J69">
        <v>72</v>
      </c>
      <c r="K69" t="str">
        <f>CONCATENATE(A69,"_",B69)</f>
        <v>24722_1</v>
      </c>
      <c r="L69" t="str">
        <f>CONCATENATE(H69,I69,J69)</f>
        <v>1641765432072</v>
      </c>
      <c r="M69" t="str">
        <f>TEXT(D69,"mmm")</f>
        <v>Mar</v>
      </c>
      <c r="N69" t="str">
        <f>RIGHT(G69,6)</f>
        <v>226166</v>
      </c>
      <c r="O69" t="str">
        <f>MID(G69,4,FIND("-",G69,4)-4)</f>
        <v>Sydney</v>
      </c>
      <c r="P69" t="str">
        <f>PROPER(CLEAN(TRIM(E69)))</f>
        <v>Inv</v>
      </c>
      <c r="Q69">
        <f>VALUE(SUBSTITUTE(SUBSTITUTE(F69,"S",""),MID(F69,2,1),""))*IF(tbl_Supplier[[#This Row],[Type]]="Cr",-1,1)</f>
        <v>1053.69</v>
      </c>
      <c r="R69" s="29">
        <f>DATE(2020,MONTH(D69),RIGHT(D69,2))</f>
        <v>43917</v>
      </c>
      <c r="S69" s="29">
        <f>DATE(2020,4,RIGHT(C69,2))</f>
        <v>43922</v>
      </c>
      <c r="T69">
        <f>tbl_Supplier[[#This Row],[Paid Date]]-tbl_Supplier[[#This Row],[Invoice Date]]</f>
        <v>5</v>
      </c>
    </row>
    <row r="70" spans="1:20" x14ac:dyDescent="0.25">
      <c r="A70">
        <v>24753</v>
      </c>
      <c r="B70">
        <v>1</v>
      </c>
      <c r="C70" t="s">
        <v>51</v>
      </c>
      <c r="D70" t="s">
        <v>92</v>
      </c>
      <c r="E70" t="s">
        <v>13</v>
      </c>
      <c r="F70" t="s">
        <v>137</v>
      </c>
      <c r="G70" t="s">
        <v>138</v>
      </c>
      <c r="H70">
        <v>1641</v>
      </c>
      <c r="I70">
        <v>7654320</v>
      </c>
      <c r="J70">
        <v>72</v>
      </c>
      <c r="K70" t="str">
        <f>CONCATENATE(A70,"_",B70)</f>
        <v>24753_1</v>
      </c>
      <c r="L70" t="str">
        <f>CONCATENATE(H70,I70,J70)</f>
        <v>1641765432072</v>
      </c>
      <c r="M70" t="str">
        <f>TEXT(D70,"mmm")</f>
        <v>Mar</v>
      </c>
      <c r="N70" t="str">
        <f>RIGHT(G70,6)</f>
        <v>238202</v>
      </c>
      <c r="O70" t="str">
        <f>MID(G70,4,FIND("-",G70,4)-4)</f>
        <v>Sydney</v>
      </c>
      <c r="P70" t="str">
        <f>PROPER(CLEAN(TRIM(E70)))</f>
        <v>Inv</v>
      </c>
      <c r="Q70">
        <f>VALUE(SUBSTITUTE(SUBSTITUTE(F70,"S",""),MID(F70,2,1),""))*IF(tbl_Supplier[[#This Row],[Type]]="Cr",-1,1)</f>
        <v>489.72</v>
      </c>
      <c r="R70" s="29">
        <f>DATE(2020,MONTH(D70),RIGHT(D70,2))</f>
        <v>43899</v>
      </c>
      <c r="S70" s="29">
        <f>DATE(2020,4,RIGHT(C70,2))</f>
        <v>43932</v>
      </c>
      <c r="T70">
        <f>tbl_Supplier[[#This Row],[Paid Date]]-tbl_Supplier[[#This Row],[Invoice Date]]</f>
        <v>33</v>
      </c>
    </row>
    <row r="71" spans="1:20" x14ac:dyDescent="0.25">
      <c r="A71">
        <v>24754</v>
      </c>
      <c r="B71">
        <v>1</v>
      </c>
      <c r="C71" t="s">
        <v>54</v>
      </c>
      <c r="D71" t="s">
        <v>67</v>
      </c>
      <c r="E71" t="s">
        <v>13</v>
      </c>
      <c r="F71" t="s">
        <v>139</v>
      </c>
      <c r="G71" t="s">
        <v>140</v>
      </c>
      <c r="H71">
        <v>1641</v>
      </c>
      <c r="I71">
        <v>7654320</v>
      </c>
      <c r="J71">
        <v>72</v>
      </c>
      <c r="K71" t="str">
        <f>CONCATENATE(A71,"_",B71)</f>
        <v>24754_1</v>
      </c>
      <c r="L71" t="str">
        <f>CONCATENATE(H71,I71,J71)</f>
        <v>1641765432072</v>
      </c>
      <c r="M71" t="str">
        <f>TEXT(D71,"mmm")</f>
        <v>Mar</v>
      </c>
      <c r="N71" t="str">
        <f>RIGHT(G71,6)</f>
        <v>217217</v>
      </c>
      <c r="O71" t="str">
        <f>MID(G71,4,FIND("-",G71,4)-4)</f>
        <v>Sydney</v>
      </c>
      <c r="P71" t="str">
        <f>PROPER(CLEAN(TRIM(E71)))</f>
        <v>Inv</v>
      </c>
      <c r="Q71">
        <f>VALUE(SUBSTITUTE(SUBSTITUTE(F71,"S",""),MID(F71,2,1),""))*IF(tbl_Supplier[[#This Row],[Type]]="Cr",-1,1)</f>
        <v>352.44</v>
      </c>
      <c r="R71" s="29">
        <f>DATE(2020,MONTH(D71),RIGHT(D71,2))</f>
        <v>43915</v>
      </c>
      <c r="S71" s="29">
        <f>DATE(2020,4,RIGHT(C71,2))</f>
        <v>43949</v>
      </c>
      <c r="T71">
        <f>tbl_Supplier[[#This Row],[Paid Date]]-tbl_Supplier[[#This Row],[Invoice Date]]</f>
        <v>34</v>
      </c>
    </row>
    <row r="72" spans="1:20" x14ac:dyDescent="0.25">
      <c r="A72">
        <v>24756</v>
      </c>
      <c r="B72">
        <v>1</v>
      </c>
      <c r="C72" t="s">
        <v>48</v>
      </c>
      <c r="D72" t="s">
        <v>39</v>
      </c>
      <c r="E72" t="s">
        <v>13</v>
      </c>
      <c r="F72" t="s">
        <v>141</v>
      </c>
      <c r="G72" t="s">
        <v>142</v>
      </c>
      <c r="H72">
        <v>1641</v>
      </c>
      <c r="I72">
        <v>7654320</v>
      </c>
      <c r="J72">
        <v>72</v>
      </c>
      <c r="K72" t="str">
        <f>CONCATENATE(A72,"_",B72)</f>
        <v>24756_1</v>
      </c>
      <c r="L72" t="str">
        <f>CONCATENATE(H72,I72,J72)</f>
        <v>1641765432072</v>
      </c>
      <c r="M72" t="str">
        <f>TEXT(D72,"mmm")</f>
        <v>Mar</v>
      </c>
      <c r="N72" t="str">
        <f>RIGHT(G72,6)</f>
        <v>234637</v>
      </c>
      <c r="O72" t="str">
        <f>MID(G72,4,FIND("-",G72,4)-4)</f>
        <v>Sydney</v>
      </c>
      <c r="P72" t="str">
        <f>PROPER(CLEAN(TRIM(E72)))</f>
        <v>Inv</v>
      </c>
      <c r="Q72">
        <f>VALUE(SUBSTITUTE(SUBSTITUTE(F72,"S",""),MID(F72,2,1),""))*IF(tbl_Supplier[[#This Row],[Type]]="Cr",-1,1)</f>
        <v>238.59</v>
      </c>
      <c r="R72" s="29">
        <f>DATE(2020,MONTH(D72),RIGHT(D72,2))</f>
        <v>43912</v>
      </c>
      <c r="S72" s="29">
        <f>DATE(2020,4,RIGHT(C72,2))</f>
        <v>43937</v>
      </c>
      <c r="T72">
        <f>tbl_Supplier[[#This Row],[Paid Date]]-tbl_Supplier[[#This Row],[Invoice Date]]</f>
        <v>25</v>
      </c>
    </row>
    <row r="73" spans="1:20" x14ac:dyDescent="0.25">
      <c r="A73">
        <v>24758</v>
      </c>
      <c r="B73">
        <v>1</v>
      </c>
      <c r="C73" t="s">
        <v>46</v>
      </c>
      <c r="D73" t="s">
        <v>25</v>
      </c>
      <c r="E73" t="s">
        <v>13</v>
      </c>
      <c r="F73" t="s">
        <v>145</v>
      </c>
      <c r="G73" t="s">
        <v>146</v>
      </c>
      <c r="H73">
        <v>1641</v>
      </c>
      <c r="I73">
        <v>7654320</v>
      </c>
      <c r="J73">
        <v>72</v>
      </c>
      <c r="K73" t="str">
        <f>CONCATENATE(A73,"_",B73)</f>
        <v>24758_1</v>
      </c>
      <c r="L73" t="str">
        <f>CONCATENATE(H73,I73,J73)</f>
        <v>1641765432072</v>
      </c>
      <c r="M73" t="str">
        <f>TEXT(D73,"mmm")</f>
        <v>Mar</v>
      </c>
      <c r="N73" t="str">
        <f>RIGHT(G73,6)</f>
        <v>227351</v>
      </c>
      <c r="O73" t="str">
        <f>MID(G73,4,FIND("-",G73,4)-4)</f>
        <v>Sydney</v>
      </c>
      <c r="P73" t="str">
        <f>PROPER(CLEAN(TRIM(E73)))</f>
        <v>Inv</v>
      </c>
      <c r="Q73">
        <f>VALUE(SUBSTITUTE(SUBSTITUTE(F73,"S",""),MID(F73,2,1),""))*IF(tbl_Supplier[[#This Row],[Type]]="Cr",-1,1)</f>
        <v>322.41000000000003</v>
      </c>
      <c r="R73" s="29">
        <f>DATE(2020,MONTH(D73),RIGHT(D73,2))</f>
        <v>43893</v>
      </c>
      <c r="S73" s="29">
        <f>DATE(2020,4,RIGHT(C73,2))</f>
        <v>43923</v>
      </c>
      <c r="T73">
        <f>tbl_Supplier[[#This Row],[Paid Date]]-tbl_Supplier[[#This Row],[Invoice Date]]</f>
        <v>30</v>
      </c>
    </row>
    <row r="74" spans="1:20" x14ac:dyDescent="0.25">
      <c r="A74">
        <v>24764</v>
      </c>
      <c r="B74">
        <v>1</v>
      </c>
      <c r="C74" t="s">
        <v>45</v>
      </c>
      <c r="D74" t="s">
        <v>130</v>
      </c>
      <c r="E74" t="s">
        <v>13</v>
      </c>
      <c r="F74" t="s">
        <v>153</v>
      </c>
      <c r="G74" t="s">
        <v>154</v>
      </c>
      <c r="H74">
        <v>1641</v>
      </c>
      <c r="I74">
        <v>7654320</v>
      </c>
      <c r="J74">
        <v>72</v>
      </c>
      <c r="K74" t="str">
        <f>CONCATENATE(A74,"_",B74)</f>
        <v>24764_1</v>
      </c>
      <c r="L74" t="str">
        <f>CONCATENATE(H74,I74,J74)</f>
        <v>1641765432072</v>
      </c>
      <c r="M74" t="str">
        <f>TEXT(D74,"mmm")</f>
        <v>Mar</v>
      </c>
      <c r="N74" t="str">
        <f>RIGHT(G74,6)</f>
        <v>227994</v>
      </c>
      <c r="O74" t="str">
        <f>MID(G74,4,FIND("-",G74,4)-4)</f>
        <v>Sydney</v>
      </c>
      <c r="P74" t="str">
        <f>PROPER(CLEAN(TRIM(E74)))</f>
        <v>Inv</v>
      </c>
      <c r="Q74">
        <f>VALUE(SUBSTITUTE(SUBSTITUTE(F74,"S",""),MID(F74,2,1),""))*IF(tbl_Supplier[[#This Row],[Type]]="Cr",-1,1)</f>
        <v>819.06</v>
      </c>
      <c r="R74" s="29">
        <f>DATE(2020,MONTH(D74),RIGHT(D74,2))</f>
        <v>43911</v>
      </c>
      <c r="S74" s="29">
        <f>DATE(2020,4,RIGHT(C74,2))</f>
        <v>43933</v>
      </c>
      <c r="T74">
        <f>tbl_Supplier[[#This Row],[Paid Date]]-tbl_Supplier[[#This Row],[Invoice Date]]</f>
        <v>22</v>
      </c>
    </row>
    <row r="75" spans="1:20" x14ac:dyDescent="0.25">
      <c r="A75">
        <v>24784</v>
      </c>
      <c r="B75">
        <v>1</v>
      </c>
      <c r="C75" t="s">
        <v>89</v>
      </c>
      <c r="D75" t="s">
        <v>165</v>
      </c>
      <c r="E75" t="s">
        <v>13</v>
      </c>
      <c r="F75" t="s">
        <v>166</v>
      </c>
      <c r="G75" t="s">
        <v>167</v>
      </c>
      <c r="H75">
        <v>1641</v>
      </c>
      <c r="I75">
        <v>7654320</v>
      </c>
      <c r="J75">
        <v>72</v>
      </c>
      <c r="K75" t="str">
        <f>CONCATENATE(A75,"_",B75)</f>
        <v>24784_1</v>
      </c>
      <c r="L75" t="str">
        <f>CONCATENATE(H75,I75,J75)</f>
        <v>1641765432072</v>
      </c>
      <c r="M75" t="str">
        <f>TEXT(D75,"mmm")</f>
        <v>Mar</v>
      </c>
      <c r="N75" t="str">
        <f>RIGHT(G75,6)</f>
        <v>218463</v>
      </c>
      <c r="O75" t="str">
        <f>MID(G75,4,FIND("-",G75,4)-4)</f>
        <v>Sydney</v>
      </c>
      <c r="P75" t="str">
        <f>PROPER(CLEAN(TRIM(E75)))</f>
        <v>Inv</v>
      </c>
      <c r="Q75">
        <f>VALUE(SUBSTITUTE(SUBSTITUTE(F75,"S",""),MID(F75,2,1),""))*IF(tbl_Supplier[[#This Row],[Type]]="Cr",-1,1)</f>
        <v>253.77</v>
      </c>
      <c r="R75" s="29">
        <f>DATE(2020,MONTH(D75),RIGHT(D75,2))</f>
        <v>43908</v>
      </c>
      <c r="S75" s="29">
        <f>DATE(2020,4,RIGHT(C75,2))</f>
        <v>43948</v>
      </c>
      <c r="T75">
        <f>tbl_Supplier[[#This Row],[Paid Date]]-tbl_Supplier[[#This Row],[Invoice Date]]</f>
        <v>40</v>
      </c>
    </row>
    <row r="76" spans="1:20" x14ac:dyDescent="0.25">
      <c r="A76">
        <v>24792</v>
      </c>
      <c r="B76">
        <v>1</v>
      </c>
      <c r="C76" t="s">
        <v>40</v>
      </c>
      <c r="D76" t="s">
        <v>27</v>
      </c>
      <c r="E76" t="s">
        <v>13</v>
      </c>
      <c r="F76" t="s">
        <v>169</v>
      </c>
      <c r="G76" t="s">
        <v>170</v>
      </c>
      <c r="H76">
        <v>1641</v>
      </c>
      <c r="I76">
        <v>7654320</v>
      </c>
      <c r="J76">
        <v>72</v>
      </c>
      <c r="K76" t="str">
        <f>CONCATENATE(A76,"_",B76)</f>
        <v>24792_1</v>
      </c>
      <c r="L76" t="str">
        <f>CONCATENATE(H76,I76,J76)</f>
        <v>1641765432072</v>
      </c>
      <c r="M76" t="str">
        <f>TEXT(D76,"mmm")</f>
        <v>Mar</v>
      </c>
      <c r="N76" t="str">
        <f>RIGHT(G76,6)</f>
        <v>227664</v>
      </c>
      <c r="O76" t="str">
        <f>MID(G76,4,FIND("-",G76,4)-4)</f>
        <v>Sydney</v>
      </c>
      <c r="P76" t="str">
        <f>PROPER(CLEAN(TRIM(E76)))</f>
        <v>Inv</v>
      </c>
      <c r="Q76">
        <f>VALUE(SUBSTITUTE(SUBSTITUTE(F76,"S",""),MID(F76,2,1),""))*IF(tbl_Supplier[[#This Row],[Type]]="Cr",-1,1)</f>
        <v>630.96</v>
      </c>
      <c r="R76" s="29">
        <f>DATE(2020,MONTH(D76),RIGHT(D76,2))</f>
        <v>43901</v>
      </c>
      <c r="S76" s="29">
        <f>DATE(2020,4,RIGHT(C76,2))</f>
        <v>43924</v>
      </c>
      <c r="T76">
        <f>tbl_Supplier[[#This Row],[Paid Date]]-tbl_Supplier[[#This Row],[Invoice Date]]</f>
        <v>23</v>
      </c>
    </row>
    <row r="77" spans="1:20" x14ac:dyDescent="0.25">
      <c r="A77">
        <v>24798</v>
      </c>
      <c r="B77">
        <v>1</v>
      </c>
      <c r="C77" t="s">
        <v>30</v>
      </c>
      <c r="D77" t="s">
        <v>55</v>
      </c>
      <c r="E77" t="s">
        <v>13</v>
      </c>
      <c r="F77" t="s">
        <v>175</v>
      </c>
      <c r="G77" t="s">
        <v>176</v>
      </c>
      <c r="H77">
        <v>1641</v>
      </c>
      <c r="I77">
        <v>7654320</v>
      </c>
      <c r="J77">
        <v>72</v>
      </c>
      <c r="K77" t="str">
        <f>CONCATENATE(A77,"_",B77)</f>
        <v>24798_1</v>
      </c>
      <c r="L77" t="str">
        <f>CONCATENATE(H77,I77,J77)</f>
        <v>1641765432072</v>
      </c>
      <c r="M77" t="str">
        <f>TEXT(D77,"mmm")</f>
        <v>Mar</v>
      </c>
      <c r="N77" t="str">
        <f>RIGHT(G77,6)</f>
        <v>221183</v>
      </c>
      <c r="O77" t="str">
        <f>MID(G77,4,FIND("-",G77,4)-4)</f>
        <v>Sydney</v>
      </c>
      <c r="P77" t="str">
        <f>PROPER(CLEAN(TRIM(E77)))</f>
        <v>Inv</v>
      </c>
      <c r="Q77">
        <f>VALUE(SUBSTITUTE(SUBSTITUTE(F77,"S",""),MID(F77,2,1),""))*IF(tbl_Supplier[[#This Row],[Type]]="Cr",-1,1)</f>
        <v>956.34</v>
      </c>
      <c r="R77" s="29">
        <f>DATE(2020,MONTH(D77),RIGHT(D77,2))</f>
        <v>43921</v>
      </c>
      <c r="S77" s="29">
        <f>DATE(2020,4,RIGHT(C77,2))</f>
        <v>43931</v>
      </c>
      <c r="T77">
        <f>tbl_Supplier[[#This Row],[Paid Date]]-tbl_Supplier[[#This Row],[Invoice Date]]</f>
        <v>10</v>
      </c>
    </row>
    <row r="78" spans="1:20" x14ac:dyDescent="0.25">
      <c r="A78">
        <v>24801</v>
      </c>
      <c r="B78">
        <v>1</v>
      </c>
      <c r="C78" t="s">
        <v>45</v>
      </c>
      <c r="D78" t="s">
        <v>69</v>
      </c>
      <c r="E78" t="s">
        <v>13</v>
      </c>
      <c r="F78" t="s">
        <v>177</v>
      </c>
      <c r="G78" t="s">
        <v>178</v>
      </c>
      <c r="H78">
        <v>1641</v>
      </c>
      <c r="I78">
        <v>7654320</v>
      </c>
      <c r="J78">
        <v>72</v>
      </c>
      <c r="K78" t="str">
        <f>CONCATENATE(A78,"_",B78)</f>
        <v>24801_1</v>
      </c>
      <c r="L78" t="str">
        <f>CONCATENATE(H78,I78,J78)</f>
        <v>1641765432072</v>
      </c>
      <c r="M78" t="str">
        <f>TEXT(D78,"mmm")</f>
        <v>Mar</v>
      </c>
      <c r="N78" t="str">
        <f>RIGHT(G78,6)</f>
        <v>214234</v>
      </c>
      <c r="O78" t="str">
        <f>MID(G78,4,FIND("-",G78,4)-4)</f>
        <v>Sydney</v>
      </c>
      <c r="P78" t="str">
        <f>PROPER(CLEAN(TRIM(E78)))</f>
        <v>Inv</v>
      </c>
      <c r="Q78">
        <f>VALUE(SUBSTITUTE(SUBSTITUTE(F78,"S",""),MID(F78,2,1),""))*IF(tbl_Supplier[[#This Row],[Type]]="Cr",-1,1)</f>
        <v>1094.28</v>
      </c>
      <c r="R78" s="29">
        <f>DATE(2020,MONTH(D78),RIGHT(D78,2))</f>
        <v>43917</v>
      </c>
      <c r="S78" s="29">
        <f>DATE(2020,4,RIGHT(C78,2))</f>
        <v>43933</v>
      </c>
      <c r="T78">
        <f>tbl_Supplier[[#This Row],[Paid Date]]-tbl_Supplier[[#This Row],[Invoice Date]]</f>
        <v>16</v>
      </c>
    </row>
    <row r="79" spans="1:20" x14ac:dyDescent="0.25">
      <c r="A79">
        <v>24813</v>
      </c>
      <c r="B79">
        <v>1</v>
      </c>
      <c r="C79" t="s">
        <v>53</v>
      </c>
      <c r="D79" t="s">
        <v>55</v>
      </c>
      <c r="E79" t="s">
        <v>13</v>
      </c>
      <c r="F79" t="s">
        <v>183</v>
      </c>
      <c r="G79" t="s">
        <v>184</v>
      </c>
      <c r="H79">
        <v>1641</v>
      </c>
      <c r="I79">
        <v>7654320</v>
      </c>
      <c r="J79">
        <v>72</v>
      </c>
      <c r="K79" t="str">
        <f>CONCATENATE(A79,"_",B79)</f>
        <v>24813_1</v>
      </c>
      <c r="L79" t="str">
        <f>CONCATENATE(H79,I79,J79)</f>
        <v>1641765432072</v>
      </c>
      <c r="M79" t="str">
        <f>TEXT(D79,"mmm")</f>
        <v>Mar</v>
      </c>
      <c r="N79" t="str">
        <f>RIGHT(G79,6)</f>
        <v>222998</v>
      </c>
      <c r="O79" t="str">
        <f>MID(G79,4,FIND("-",G79,4)-4)</f>
        <v>Sydney</v>
      </c>
      <c r="P79" t="str">
        <f>PROPER(CLEAN(TRIM(E79)))</f>
        <v>Inv</v>
      </c>
      <c r="Q79">
        <f>VALUE(SUBSTITUTE(SUBSTITUTE(F79,"S",""),MID(F79,2,1),""))*IF(tbl_Supplier[[#This Row],[Type]]="Cr",-1,1)</f>
        <v>705.54</v>
      </c>
      <c r="R79" s="29">
        <f>DATE(2020,MONTH(D79),RIGHT(D79,2))</f>
        <v>43921</v>
      </c>
      <c r="S79" s="29">
        <f>DATE(2020,4,RIGHT(C79,2))</f>
        <v>43929</v>
      </c>
      <c r="T79">
        <f>tbl_Supplier[[#This Row],[Paid Date]]-tbl_Supplier[[#This Row],[Invoice Date]]</f>
        <v>8</v>
      </c>
    </row>
    <row r="80" spans="1:20" x14ac:dyDescent="0.25">
      <c r="A80">
        <v>24822</v>
      </c>
      <c r="B80">
        <v>1</v>
      </c>
      <c r="C80" t="s">
        <v>44</v>
      </c>
      <c r="D80" t="s">
        <v>71</v>
      </c>
      <c r="E80" t="s">
        <v>13</v>
      </c>
      <c r="F80" t="s">
        <v>189</v>
      </c>
      <c r="G80" t="s">
        <v>190</v>
      </c>
      <c r="H80">
        <v>1641</v>
      </c>
      <c r="I80">
        <v>7654320</v>
      </c>
      <c r="J80">
        <v>72</v>
      </c>
      <c r="K80" t="str">
        <f>CONCATENATE(A80,"_",B80)</f>
        <v>24822_1</v>
      </c>
      <c r="L80" t="str">
        <f>CONCATENATE(H80,I80,J80)</f>
        <v>1641765432072</v>
      </c>
      <c r="M80" t="str">
        <f>TEXT(D80,"mmm")</f>
        <v>Mar</v>
      </c>
      <c r="N80" t="str">
        <f>RIGHT(G80,6)</f>
        <v>223602</v>
      </c>
      <c r="O80" t="str">
        <f>MID(G80,4,FIND("-",G80,4)-4)</f>
        <v>Sydney</v>
      </c>
      <c r="P80" t="str">
        <f>PROPER(CLEAN(TRIM(E80)))</f>
        <v>Inv</v>
      </c>
      <c r="Q80">
        <f>VALUE(SUBSTITUTE(SUBSTITUTE(F80,"S",""),MID(F80,2,1),""))*IF(tbl_Supplier[[#This Row],[Type]]="Cr",-1,1)</f>
        <v>422.73</v>
      </c>
      <c r="R80" s="29">
        <f>DATE(2020,MONTH(D80),RIGHT(D80,2))</f>
        <v>43913</v>
      </c>
      <c r="S80" s="29">
        <f>DATE(2020,4,RIGHT(C80,2))</f>
        <v>43939</v>
      </c>
      <c r="T80">
        <f>tbl_Supplier[[#This Row],[Paid Date]]-tbl_Supplier[[#This Row],[Invoice Date]]</f>
        <v>26</v>
      </c>
    </row>
    <row r="81" spans="1:20" x14ac:dyDescent="0.25">
      <c r="A81">
        <v>24837</v>
      </c>
      <c r="B81">
        <v>1</v>
      </c>
      <c r="C81" t="s">
        <v>53</v>
      </c>
      <c r="D81" t="s">
        <v>72</v>
      </c>
      <c r="E81" t="s">
        <v>13</v>
      </c>
      <c r="F81" t="s">
        <v>201</v>
      </c>
      <c r="G81" t="s">
        <v>202</v>
      </c>
      <c r="H81">
        <v>1641</v>
      </c>
      <c r="I81">
        <v>7654320</v>
      </c>
      <c r="J81">
        <v>72</v>
      </c>
      <c r="K81" t="str">
        <f>CONCATENATE(A81,"_",B81)</f>
        <v>24837_1</v>
      </c>
      <c r="L81" t="str">
        <f>CONCATENATE(H81,I81,J81)</f>
        <v>1641765432072</v>
      </c>
      <c r="M81" t="str">
        <f>TEXT(D81,"mmm")</f>
        <v>Mar</v>
      </c>
      <c r="N81" t="str">
        <f>RIGHT(G81,6)</f>
        <v>215639</v>
      </c>
      <c r="O81" t="str">
        <f>MID(G81,4,FIND("-",G81,4)-4)</f>
        <v>Sydney</v>
      </c>
      <c r="P81" t="str">
        <f>PROPER(CLEAN(TRIM(E81)))</f>
        <v>Inv</v>
      </c>
      <c r="Q81">
        <f>VALUE(SUBSTITUTE(SUBSTITUTE(F81,"S",""),MID(F81,2,1),""))*IF(tbl_Supplier[[#This Row],[Type]]="Cr",-1,1)</f>
        <v>361.02</v>
      </c>
      <c r="R81" s="29">
        <f>DATE(2020,MONTH(D81),RIGHT(D81,2))</f>
        <v>43916</v>
      </c>
      <c r="S81" s="29">
        <f>DATE(2020,4,RIGHT(C81,2))</f>
        <v>43929</v>
      </c>
      <c r="T81">
        <f>tbl_Supplier[[#This Row],[Paid Date]]-tbl_Supplier[[#This Row],[Invoice Date]]</f>
        <v>13</v>
      </c>
    </row>
    <row r="82" spans="1:20" x14ac:dyDescent="0.25">
      <c r="A82">
        <v>24842</v>
      </c>
      <c r="B82">
        <v>1</v>
      </c>
      <c r="C82" t="s">
        <v>45</v>
      </c>
      <c r="D82" t="s">
        <v>61</v>
      </c>
      <c r="E82" t="s">
        <v>13</v>
      </c>
      <c r="F82" t="s">
        <v>43</v>
      </c>
      <c r="G82" t="s">
        <v>205</v>
      </c>
      <c r="H82">
        <v>1641</v>
      </c>
      <c r="I82">
        <v>7654320</v>
      </c>
      <c r="J82">
        <v>72</v>
      </c>
      <c r="K82" t="str">
        <f>CONCATENATE(A82,"_",B82)</f>
        <v>24842_1</v>
      </c>
      <c r="L82" t="str">
        <f>CONCATENATE(H82,I82,J82)</f>
        <v>1641765432072</v>
      </c>
      <c r="M82" t="str">
        <f>TEXT(D82,"mmm")</f>
        <v>Mar</v>
      </c>
      <c r="N82" t="str">
        <f>RIGHT(G82,6)</f>
        <v>210023</v>
      </c>
      <c r="O82" t="str">
        <f>MID(G82,4,FIND("-",G82,4)-4)</f>
        <v>Sydney</v>
      </c>
      <c r="P82" t="str">
        <f>PROPER(CLEAN(TRIM(E82)))</f>
        <v>Inv</v>
      </c>
      <c r="Q82">
        <f>VALUE(SUBSTITUTE(SUBSTITUTE(F82,"S",""),MID(F82,2,1),""))*IF(tbl_Supplier[[#This Row],[Type]]="Cr",-1,1)</f>
        <v>126.72</v>
      </c>
      <c r="R82" s="29">
        <f>DATE(2020,MONTH(D82),RIGHT(D82,2))</f>
        <v>43914</v>
      </c>
      <c r="S82" s="29">
        <f>DATE(2020,4,RIGHT(C82,2))</f>
        <v>43933</v>
      </c>
      <c r="T82">
        <f>tbl_Supplier[[#This Row],[Paid Date]]-tbl_Supplier[[#This Row],[Invoice Date]]</f>
        <v>19</v>
      </c>
    </row>
    <row r="83" spans="1:20" x14ac:dyDescent="0.25">
      <c r="A83">
        <v>24866</v>
      </c>
      <c r="B83">
        <v>1</v>
      </c>
      <c r="C83" t="s">
        <v>30</v>
      </c>
      <c r="D83" t="s">
        <v>41</v>
      </c>
      <c r="E83" t="s">
        <v>13</v>
      </c>
      <c r="F83" t="s">
        <v>219</v>
      </c>
      <c r="G83" t="s">
        <v>220</v>
      </c>
      <c r="H83">
        <v>1641</v>
      </c>
      <c r="I83">
        <v>7654320</v>
      </c>
      <c r="J83">
        <v>72</v>
      </c>
      <c r="K83" t="str">
        <f>CONCATENATE(A83,"_",B83)</f>
        <v>24866_1</v>
      </c>
      <c r="L83" t="str">
        <f>CONCATENATE(H83,I83,J83)</f>
        <v>1641765432072</v>
      </c>
      <c r="M83" t="str">
        <f>TEXT(D83,"mmm")</f>
        <v>Mar</v>
      </c>
      <c r="N83" t="str">
        <f>RIGHT(G83,6)</f>
        <v>234487</v>
      </c>
      <c r="O83" t="str">
        <f>MID(G83,4,FIND("-",G83,4)-4)</f>
        <v>Sydney</v>
      </c>
      <c r="P83" t="str">
        <f>PROPER(CLEAN(TRIM(E83)))</f>
        <v>Inv</v>
      </c>
      <c r="Q83">
        <f>VALUE(SUBSTITUTE(SUBSTITUTE(F83,"S",""),MID(F83,2,1),""))*IF(tbl_Supplier[[#This Row],[Type]]="Cr",-1,1)</f>
        <v>840.51</v>
      </c>
      <c r="R83" s="29">
        <f>DATE(2020,MONTH(D83),RIGHT(D83,2))</f>
        <v>43900</v>
      </c>
      <c r="S83" s="29">
        <f>DATE(2020,4,RIGHT(C83,2))</f>
        <v>43931</v>
      </c>
      <c r="T83">
        <f>tbl_Supplier[[#This Row],[Paid Date]]-tbl_Supplier[[#This Row],[Invoice Date]]</f>
        <v>31</v>
      </c>
    </row>
    <row r="84" spans="1:20" x14ac:dyDescent="0.25">
      <c r="A84">
        <v>24873</v>
      </c>
      <c r="B84">
        <v>1</v>
      </c>
      <c r="C84" t="s">
        <v>64</v>
      </c>
      <c r="D84" t="s">
        <v>61</v>
      </c>
      <c r="E84" t="s">
        <v>13</v>
      </c>
      <c r="F84" t="s">
        <v>222</v>
      </c>
      <c r="G84" t="s">
        <v>223</v>
      </c>
      <c r="H84">
        <v>1641</v>
      </c>
      <c r="I84">
        <v>7654320</v>
      </c>
      <c r="J84">
        <v>72</v>
      </c>
      <c r="K84" t="str">
        <f>CONCATENATE(A84,"_",B84)</f>
        <v>24873_1</v>
      </c>
      <c r="L84" t="str">
        <f>CONCATENATE(H84,I84,J84)</f>
        <v>1641765432072</v>
      </c>
      <c r="M84" t="str">
        <f>TEXT(D84,"mmm")</f>
        <v>Mar</v>
      </c>
      <c r="N84" t="str">
        <f>RIGHT(G84,6)</f>
        <v>224955</v>
      </c>
      <c r="O84" t="str">
        <f>MID(G84,4,FIND("-",G84,4)-4)</f>
        <v>Sydney</v>
      </c>
      <c r="P84" t="str">
        <f>PROPER(CLEAN(TRIM(E84)))</f>
        <v>Inv</v>
      </c>
      <c r="Q84">
        <f>VALUE(SUBSTITUTE(SUBSTITUTE(F84,"S",""),MID(F84,2,1),""))*IF(tbl_Supplier[[#This Row],[Type]]="Cr",-1,1)</f>
        <v>816.75</v>
      </c>
      <c r="R84" s="29">
        <f>DATE(2020,MONTH(D84),RIGHT(D84,2))</f>
        <v>43914</v>
      </c>
      <c r="S84" s="29">
        <f>DATE(2020,4,RIGHT(C84,2))</f>
        <v>43944</v>
      </c>
      <c r="T84">
        <f>tbl_Supplier[[#This Row],[Paid Date]]-tbl_Supplier[[#This Row],[Invoice Date]]</f>
        <v>30</v>
      </c>
    </row>
    <row r="85" spans="1:20" x14ac:dyDescent="0.25">
      <c r="A85">
        <v>24875</v>
      </c>
      <c r="B85">
        <v>1</v>
      </c>
      <c r="C85" t="s">
        <v>83</v>
      </c>
      <c r="D85" t="s">
        <v>39</v>
      </c>
      <c r="E85" t="s">
        <v>13</v>
      </c>
      <c r="F85" t="s">
        <v>224</v>
      </c>
      <c r="G85" t="s">
        <v>225</v>
      </c>
      <c r="H85">
        <v>1641</v>
      </c>
      <c r="I85">
        <v>7654320</v>
      </c>
      <c r="J85">
        <v>72</v>
      </c>
      <c r="K85" t="str">
        <f>CONCATENATE(A85,"_",B85)</f>
        <v>24875_1</v>
      </c>
      <c r="L85" t="str">
        <f>CONCATENATE(H85,I85,J85)</f>
        <v>1641765432072</v>
      </c>
      <c r="M85" t="str">
        <f>TEXT(D85,"mmm")</f>
        <v>Mar</v>
      </c>
      <c r="N85" t="str">
        <f>RIGHT(G85,6)</f>
        <v>217275</v>
      </c>
      <c r="O85" t="str">
        <f>MID(G85,4,FIND("-",G85,4)-4)</f>
        <v>Sydney</v>
      </c>
      <c r="P85" t="str">
        <f>PROPER(CLEAN(TRIM(E85)))</f>
        <v>Inv</v>
      </c>
      <c r="Q85">
        <f>VALUE(SUBSTITUTE(SUBSTITUTE(F85,"S",""),MID(F85,2,1),""))*IF(tbl_Supplier[[#This Row],[Type]]="Cr",-1,1)</f>
        <v>1065.57</v>
      </c>
      <c r="R85" s="29">
        <f>DATE(2020,MONTH(D85),RIGHT(D85,2))</f>
        <v>43912</v>
      </c>
      <c r="S85" s="29">
        <f>DATE(2020,4,RIGHT(C85,2))</f>
        <v>43951</v>
      </c>
      <c r="T85">
        <f>tbl_Supplier[[#This Row],[Paid Date]]-tbl_Supplier[[#This Row],[Invoice Date]]</f>
        <v>39</v>
      </c>
    </row>
    <row r="86" spans="1:20" x14ac:dyDescent="0.25">
      <c r="A86">
        <v>24876</v>
      </c>
      <c r="B86">
        <v>1</v>
      </c>
      <c r="C86" t="s">
        <v>32</v>
      </c>
      <c r="D86" t="s">
        <v>47</v>
      </c>
      <c r="E86" t="s">
        <v>13</v>
      </c>
      <c r="F86" t="s">
        <v>226</v>
      </c>
      <c r="G86" t="s">
        <v>227</v>
      </c>
      <c r="H86">
        <v>1641</v>
      </c>
      <c r="I86">
        <v>7654320</v>
      </c>
      <c r="J86">
        <v>72</v>
      </c>
      <c r="K86" t="str">
        <f>CONCATENATE(A86,"_",B86)</f>
        <v>24876_1</v>
      </c>
      <c r="L86" t="str">
        <f>CONCATENATE(H86,I86,J86)</f>
        <v>1641765432072</v>
      </c>
      <c r="M86" t="str">
        <f>TEXT(D86,"mmm")</f>
        <v>Mar</v>
      </c>
      <c r="N86" t="str">
        <f>RIGHT(G86,6)</f>
        <v>226240</v>
      </c>
      <c r="O86" t="str">
        <f>MID(G86,4,FIND("-",G86,4)-4)</f>
        <v>Sydney</v>
      </c>
      <c r="P86" t="str">
        <f>PROPER(CLEAN(TRIM(E86)))</f>
        <v>Inv</v>
      </c>
      <c r="Q86">
        <f>VALUE(SUBSTITUTE(SUBSTITUTE(F86,"S",""),MID(F86,2,1),""))*IF(tbl_Supplier[[#This Row],[Type]]="Cr",-1,1)</f>
        <v>523.38</v>
      </c>
      <c r="R86" s="29">
        <f>DATE(2020,MONTH(D86),RIGHT(D86,2))</f>
        <v>43919</v>
      </c>
      <c r="S86" s="29">
        <f>DATE(2020,4,RIGHT(C86,2))</f>
        <v>43925</v>
      </c>
      <c r="T86">
        <f>tbl_Supplier[[#This Row],[Paid Date]]-tbl_Supplier[[#This Row],[Invoice Date]]</f>
        <v>6</v>
      </c>
    </row>
    <row r="87" spans="1:20" x14ac:dyDescent="0.25">
      <c r="A87">
        <v>24887</v>
      </c>
      <c r="B87">
        <v>1</v>
      </c>
      <c r="C87" t="s">
        <v>28</v>
      </c>
      <c r="D87" t="s">
        <v>29</v>
      </c>
      <c r="E87" t="s">
        <v>13</v>
      </c>
      <c r="F87" t="s">
        <v>239</v>
      </c>
      <c r="G87" t="s">
        <v>240</v>
      </c>
      <c r="H87">
        <v>1641</v>
      </c>
      <c r="I87">
        <v>7654320</v>
      </c>
      <c r="J87">
        <v>72</v>
      </c>
      <c r="K87" t="str">
        <f>CONCATENATE(A87,"_",B87)</f>
        <v>24887_1</v>
      </c>
      <c r="L87" t="str">
        <f>CONCATENATE(H87,I87,J87)</f>
        <v>1641765432072</v>
      </c>
      <c r="M87" t="str">
        <f>TEXT(D87,"mmm")</f>
        <v>Mar</v>
      </c>
      <c r="N87" t="str">
        <f>RIGHT(G87,6)</f>
        <v>235040</v>
      </c>
      <c r="O87" t="str">
        <f>MID(G87,4,FIND("-",G87,4)-4)</f>
        <v>Sydney</v>
      </c>
      <c r="P87" t="str">
        <f>PROPER(CLEAN(TRIM(E87)))</f>
        <v>Inv</v>
      </c>
      <c r="Q87">
        <f>VALUE(SUBSTITUTE(SUBSTITUTE(F87,"S",""),MID(F87,2,1),""))*IF(tbl_Supplier[[#This Row],[Type]]="Cr",-1,1)</f>
        <v>335.61</v>
      </c>
      <c r="R87" s="29">
        <f>DATE(2020,MONTH(D87),RIGHT(D87,2))</f>
        <v>43897</v>
      </c>
      <c r="S87" s="29">
        <f>DATE(2020,4,RIGHT(C87,2))</f>
        <v>43926</v>
      </c>
      <c r="T87">
        <f>tbl_Supplier[[#This Row],[Paid Date]]-tbl_Supplier[[#This Row],[Invoice Date]]</f>
        <v>29</v>
      </c>
    </row>
    <row r="88" spans="1:20" x14ac:dyDescent="0.25">
      <c r="A88">
        <v>24891</v>
      </c>
      <c r="B88">
        <v>1</v>
      </c>
      <c r="C88" t="s">
        <v>37</v>
      </c>
      <c r="D88" t="s">
        <v>23</v>
      </c>
      <c r="E88" t="s">
        <v>13</v>
      </c>
      <c r="F88" t="s">
        <v>241</v>
      </c>
      <c r="G88" t="s">
        <v>242</v>
      </c>
      <c r="H88">
        <v>1641</v>
      </c>
      <c r="I88">
        <v>7654320</v>
      </c>
      <c r="J88">
        <v>72</v>
      </c>
      <c r="K88" t="str">
        <f>CONCATENATE(A88,"_",B88)</f>
        <v>24891_1</v>
      </c>
      <c r="L88" t="str">
        <f>CONCATENATE(H88,I88,J88)</f>
        <v>1641765432072</v>
      </c>
      <c r="M88" t="str">
        <f>TEXT(D88,"mmm")</f>
        <v>Mar</v>
      </c>
      <c r="N88" t="str">
        <f>RIGHT(G88,6)</f>
        <v>211771</v>
      </c>
      <c r="O88" t="str">
        <f>MID(G88,4,FIND("-",G88,4)-4)</f>
        <v>Sydney</v>
      </c>
      <c r="P88" t="str">
        <f>PROPER(CLEAN(TRIM(E88)))</f>
        <v>Inv</v>
      </c>
      <c r="Q88">
        <f>VALUE(SUBSTITUTE(SUBSTITUTE(F88,"S",""),MID(F88,2,1),""))*IF(tbl_Supplier[[#This Row],[Type]]="Cr",-1,1)</f>
        <v>763.29</v>
      </c>
      <c r="R88" s="29">
        <f>DATE(2020,MONTH(D88),RIGHT(D88,2))</f>
        <v>43898</v>
      </c>
      <c r="S88" s="29">
        <f>DATE(2020,4,RIGHT(C88,2))</f>
        <v>43940</v>
      </c>
      <c r="T88">
        <f>tbl_Supplier[[#This Row],[Paid Date]]-tbl_Supplier[[#This Row],[Invoice Date]]</f>
        <v>42</v>
      </c>
    </row>
    <row r="89" spans="1:20" x14ac:dyDescent="0.25">
      <c r="A89">
        <v>24902</v>
      </c>
      <c r="B89">
        <v>1</v>
      </c>
      <c r="C89" t="s">
        <v>45</v>
      </c>
      <c r="D89" t="s">
        <v>67</v>
      </c>
      <c r="E89" t="s">
        <v>13</v>
      </c>
      <c r="F89" t="s">
        <v>247</v>
      </c>
      <c r="G89" t="s">
        <v>248</v>
      </c>
      <c r="H89">
        <v>1641</v>
      </c>
      <c r="I89">
        <v>7654320</v>
      </c>
      <c r="J89">
        <v>72</v>
      </c>
      <c r="K89" t="str">
        <f>CONCATENATE(A89,"_",B89)</f>
        <v>24902_1</v>
      </c>
      <c r="L89" t="str">
        <f>CONCATENATE(H89,I89,J89)</f>
        <v>1641765432072</v>
      </c>
      <c r="M89" t="str">
        <f>TEXT(D89,"mmm")</f>
        <v>Mar</v>
      </c>
      <c r="N89" t="str">
        <f>RIGHT(G89,6)</f>
        <v>213342</v>
      </c>
      <c r="O89" t="str">
        <f>MID(G89,4,FIND("-",G89,4)-4)</f>
        <v>Sydney</v>
      </c>
      <c r="P89" t="str">
        <f>PROPER(CLEAN(TRIM(E89)))</f>
        <v>Inv</v>
      </c>
      <c r="Q89">
        <f>VALUE(SUBSTITUTE(SUBSTITUTE(F89,"S",""),MID(F89,2,1),""))*IF(tbl_Supplier[[#This Row],[Type]]="Cr",-1,1)</f>
        <v>533.28</v>
      </c>
      <c r="R89" s="29">
        <f>DATE(2020,MONTH(D89),RIGHT(D89,2))</f>
        <v>43915</v>
      </c>
      <c r="S89" s="29">
        <f>DATE(2020,4,RIGHT(C89,2))</f>
        <v>43933</v>
      </c>
      <c r="T89">
        <f>tbl_Supplier[[#This Row],[Paid Date]]-tbl_Supplier[[#This Row],[Invoice Date]]</f>
        <v>18</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CB4E0"/>
  </sheetPr>
  <dimension ref="A1:T89"/>
  <sheetViews>
    <sheetView zoomScale="89" zoomScaleNormal="89" workbookViewId="0">
      <selection activeCell="A8" sqref="A8"/>
    </sheetView>
    <sheetView workbookViewId="1"/>
  </sheetViews>
  <sheetFormatPr defaultRowHeight="15" x14ac:dyDescent="0.25"/>
  <cols>
    <col min="1" max="1" width="18.140625" customWidth="1"/>
    <col min="2" max="2" width="12.42578125" customWidth="1"/>
    <col min="3" max="3" width="13.5703125" customWidth="1"/>
    <col min="4" max="4" width="17" style="2" bestFit="1" customWidth="1"/>
    <col min="5" max="5" width="14.42578125" style="2" bestFit="1" customWidth="1"/>
    <col min="6" max="6" width="11.5703125" style="2" hidden="1" customWidth="1"/>
    <col min="7" max="7" width="16.28515625" style="2" customWidth="1"/>
    <col min="8" max="8" width="16.7109375" bestFit="1" customWidth="1"/>
    <col min="9" max="9" width="17.140625" bestFit="1" customWidth="1"/>
    <col min="10" max="10" width="13.5703125" bestFit="1" customWidth="1"/>
    <col min="11" max="11" width="13.42578125" bestFit="1" customWidth="1"/>
    <col min="12" max="12" width="14.42578125" style="4" customWidth="1"/>
    <col min="13" max="14" width="12" style="4" customWidth="1"/>
    <col min="15" max="15" width="17.140625" style="4" bestFit="1" customWidth="1"/>
    <col min="16" max="16" width="16.7109375" bestFit="1" customWidth="1"/>
    <col min="17" max="17" width="16.7109375" customWidth="1"/>
    <col min="18" max="18" width="4.28515625" customWidth="1"/>
    <col min="19" max="19" width="15.7109375" customWidth="1"/>
    <col min="20" max="20" width="11.140625" customWidth="1"/>
  </cols>
  <sheetData>
    <row r="1" spans="1:17" ht="26.25" customHeight="1" x14ac:dyDescent="0.25">
      <c r="A1" s="30" t="s">
        <v>339</v>
      </c>
    </row>
    <row r="2" spans="1:17" x14ac:dyDescent="0.25">
      <c r="A2" t="s">
        <v>361</v>
      </c>
      <c r="B2" s="21">
        <f ca="1">TODAY()</f>
        <v>45290</v>
      </c>
      <c r="C2" s="22"/>
      <c r="E2" s="21"/>
      <c r="F2"/>
      <c r="H2" s="5" t="s">
        <v>357</v>
      </c>
      <c r="I2" s="11">
        <f>COUNTIF(Location,L2)</f>
        <v>1</v>
      </c>
      <c r="K2" s="5" t="s">
        <v>354</v>
      </c>
      <c r="L2" s="10" t="s">
        <v>372</v>
      </c>
      <c r="M2" s="2"/>
      <c r="N2" s="2"/>
      <c r="O2" s="5" t="s">
        <v>344</v>
      </c>
      <c r="P2" s="6">
        <v>3.5999999999999999E-3</v>
      </c>
    </row>
    <row r="3" spans="1:17" x14ac:dyDescent="0.25">
      <c r="E3"/>
      <c r="M3" s="2"/>
      <c r="N3" s="2"/>
      <c r="O3" s="2"/>
    </row>
    <row r="4" spans="1:17" x14ac:dyDescent="0.25">
      <c r="A4" s="12" t="s">
        <v>338</v>
      </c>
      <c r="B4" s="12" t="s">
        <v>337</v>
      </c>
      <c r="C4" s="12" t="s">
        <v>5</v>
      </c>
      <c r="D4" s="12" t="s">
        <v>0</v>
      </c>
      <c r="E4" s="12" t="s">
        <v>1</v>
      </c>
      <c r="F4" s="12" t="s">
        <v>364</v>
      </c>
      <c r="G4" s="12" t="s">
        <v>2</v>
      </c>
      <c r="H4" s="12" t="s">
        <v>21</v>
      </c>
      <c r="I4" s="12" t="s">
        <v>8</v>
      </c>
      <c r="J4" s="12" t="s">
        <v>7</v>
      </c>
      <c r="K4" s="12" t="s">
        <v>359</v>
      </c>
      <c r="L4" s="12" t="s">
        <v>341</v>
      </c>
      <c r="M4" s="12" t="s">
        <v>362</v>
      </c>
      <c r="N4" s="12" t="s">
        <v>377</v>
      </c>
      <c r="O4" s="12" t="s">
        <v>345</v>
      </c>
      <c r="P4" s="12" t="s">
        <v>343</v>
      </c>
      <c r="Q4" s="41" t="s">
        <v>381</v>
      </c>
    </row>
    <row r="5" spans="1:17" x14ac:dyDescent="0.25">
      <c r="A5" s="17" t="s">
        <v>249</v>
      </c>
      <c r="B5" s="17" t="s">
        <v>340</v>
      </c>
      <c r="C5" s="17">
        <v>545672</v>
      </c>
      <c r="D5" s="18">
        <v>43893</v>
      </c>
      <c r="E5" s="18">
        <f t="shared" ref="E5:E36" si="0">WORKDAY.INTL(D5,6,"0000011")</f>
        <v>43901</v>
      </c>
      <c r="F5" s="18" t="str">
        <f t="shared" ref="F5:F36" si="1">TEXT(E5,"dddd")</f>
        <v>Wednesday</v>
      </c>
      <c r="G5" s="18">
        <v>43923</v>
      </c>
      <c r="H5" s="17">
        <v>327600</v>
      </c>
      <c r="I5" s="17" t="s">
        <v>252</v>
      </c>
      <c r="J5" s="17" t="s">
        <v>253</v>
      </c>
      <c r="K5" s="19">
        <v>1021.02</v>
      </c>
      <c r="L5" s="20" t="str">
        <f t="shared" ref="L5:L36" si="2">TEXT(D5,"mmm")</f>
        <v>Mar</v>
      </c>
      <c r="M5" s="20">
        <f t="shared" ref="M5:M36" si="3">DAY(D5)</f>
        <v>3</v>
      </c>
      <c r="N5" s="20" t="str">
        <f>IF(tbl_McReport[[#This Row],[Payment Date]]&gt;tbl_McReport[[#This Row],[Due Date]],"Yes","")</f>
        <v>Yes</v>
      </c>
      <c r="O5" s="20">
        <f>IF(tbl_McReport[[#This Row],[Over Due]]="",0,NETWORKDAYS(tbl_McReport[[#This Row],[Due Date]],tbl_McReport[[#This Row],[Payment Date]],Holidays))</f>
        <v>17</v>
      </c>
      <c r="P5" s="19">
        <f>VLOOKUP(tbl_McReport[[#This Row],[Over Due By]],tbl_penalty_rate[],2)</f>
        <v>25.9</v>
      </c>
      <c r="Q5" s="42" t="str">
        <f>IF(AND(tbl_McReport[[#This Row],[Over Due By]]&gt;0,tbl_McReport[[#This Row],[Amount]]&gt;=500),"Action","")</f>
        <v>Action</v>
      </c>
    </row>
    <row r="6" spans="1:17" x14ac:dyDescent="0.25">
      <c r="A6" s="17" t="s">
        <v>249</v>
      </c>
      <c r="B6" s="17" t="s">
        <v>340</v>
      </c>
      <c r="C6" s="17">
        <v>545671</v>
      </c>
      <c r="D6" s="18">
        <v>43917</v>
      </c>
      <c r="E6" s="18">
        <f t="shared" si="0"/>
        <v>43927</v>
      </c>
      <c r="F6" s="18" t="str">
        <f t="shared" si="1"/>
        <v>Monday</v>
      </c>
      <c r="G6" s="18">
        <v>43922</v>
      </c>
      <c r="H6" s="17">
        <v>223809</v>
      </c>
      <c r="I6" s="17" t="s">
        <v>250</v>
      </c>
      <c r="J6" s="17" t="s">
        <v>251</v>
      </c>
      <c r="K6" s="19">
        <v>742.5</v>
      </c>
      <c r="L6" s="20" t="str">
        <f t="shared" si="2"/>
        <v>Mar</v>
      </c>
      <c r="M6" s="20">
        <f t="shared" si="3"/>
        <v>27</v>
      </c>
      <c r="N6" s="20" t="str">
        <f>IF(tbl_McReport[[#This Row],[Payment Date]]&gt;tbl_McReport[[#This Row],[Due Date]],"Yes","")</f>
        <v/>
      </c>
      <c r="O6" s="20">
        <f>IF(tbl_McReport[[#This Row],[Over Due]]="",0,NETWORKDAYS(tbl_McReport[[#This Row],[Due Date]],tbl_McReport[[#This Row],[Payment Date]],Holidays))</f>
        <v>0</v>
      </c>
      <c r="P6" s="19">
        <f>VLOOKUP(tbl_McReport[[#This Row],[Over Due By]],tbl_penalty_rate[],2)</f>
        <v>0</v>
      </c>
      <c r="Q6" s="42" t="str">
        <f>IF(AND(tbl_McReport[[#This Row],[Over Due By]]&gt;0,tbl_McReport[[#This Row],[Amount]]&gt;=500),"Action","")</f>
        <v/>
      </c>
    </row>
    <row r="7" spans="1:17" x14ac:dyDescent="0.25">
      <c r="A7" s="17" t="s">
        <v>254</v>
      </c>
      <c r="B7" s="17" t="s">
        <v>340</v>
      </c>
      <c r="C7" s="17">
        <v>545674</v>
      </c>
      <c r="D7" s="18">
        <v>43880</v>
      </c>
      <c r="E7" s="18">
        <f t="shared" si="0"/>
        <v>43888</v>
      </c>
      <c r="F7" s="18" t="str">
        <f t="shared" si="1"/>
        <v>Thursday</v>
      </c>
      <c r="G7" s="18">
        <v>43924</v>
      </c>
      <c r="H7" s="17">
        <v>332589</v>
      </c>
      <c r="I7" s="17" t="s">
        <v>252</v>
      </c>
      <c r="J7" s="17" t="s">
        <v>253</v>
      </c>
      <c r="K7" s="19">
        <v>409.53</v>
      </c>
      <c r="L7" s="20" t="str">
        <f t="shared" si="2"/>
        <v>Feb</v>
      </c>
      <c r="M7" s="20">
        <f t="shared" si="3"/>
        <v>19</v>
      </c>
      <c r="N7" s="20" t="str">
        <f>IF(tbl_McReport[[#This Row],[Payment Date]]&gt;tbl_McReport[[#This Row],[Due Date]],"Yes","")</f>
        <v>Yes</v>
      </c>
      <c r="O7" s="20">
        <f>IF(tbl_McReport[[#This Row],[Over Due]]="",0,NETWORKDAYS(tbl_McReport[[#This Row],[Due Date]],tbl_McReport[[#This Row],[Payment Date]],Holidays))</f>
        <v>27</v>
      </c>
      <c r="P7" s="19">
        <f>VLOOKUP(tbl_McReport[[#This Row],[Over Due By]],tbl_penalty_rate[],2)</f>
        <v>25.9</v>
      </c>
      <c r="Q7" s="42" t="str">
        <f>IF(AND(tbl_McReport[[#This Row],[Over Due By]]&gt;0,tbl_McReport[[#This Row],[Amount]]&gt;=500),"Action","")</f>
        <v/>
      </c>
    </row>
    <row r="8" spans="1:17" x14ac:dyDescent="0.25">
      <c r="A8" s="17" t="s">
        <v>255</v>
      </c>
      <c r="B8" s="17" t="s">
        <v>340</v>
      </c>
      <c r="C8" s="17">
        <v>545676</v>
      </c>
      <c r="D8" s="18">
        <v>43901</v>
      </c>
      <c r="E8" s="18">
        <f t="shared" si="0"/>
        <v>43909</v>
      </c>
      <c r="F8" s="18" t="str">
        <f t="shared" si="1"/>
        <v>Thursday</v>
      </c>
      <c r="G8" s="18">
        <v>43924</v>
      </c>
      <c r="H8" s="17">
        <v>337131</v>
      </c>
      <c r="I8" s="17" t="s">
        <v>252</v>
      </c>
      <c r="J8" s="17" t="s">
        <v>253</v>
      </c>
      <c r="K8" s="19">
        <v>-234.96</v>
      </c>
      <c r="L8" s="20" t="str">
        <f t="shared" si="2"/>
        <v>Mar</v>
      </c>
      <c r="M8" s="20">
        <f t="shared" si="3"/>
        <v>11</v>
      </c>
      <c r="N8" s="20" t="str">
        <f>IF(tbl_McReport[[#This Row],[Payment Date]]&gt;tbl_McReport[[#This Row],[Due Date]],"Yes","")</f>
        <v>Yes</v>
      </c>
      <c r="O8" s="20">
        <f>IF(tbl_McReport[[#This Row],[Over Due]]="",0,NETWORKDAYS(tbl_McReport[[#This Row],[Due Date]],tbl_McReport[[#This Row],[Payment Date]],Holidays))</f>
        <v>12</v>
      </c>
      <c r="P8" s="19">
        <f>VLOOKUP(tbl_McReport[[#This Row],[Over Due By]],tbl_penalty_rate[],2)</f>
        <v>10.8</v>
      </c>
      <c r="Q8" s="42" t="str">
        <f>IF(AND(tbl_McReport[[#This Row],[Over Due By]]&gt;0,tbl_McReport[[#This Row],[Amount]]&gt;=500),"Action","")</f>
        <v/>
      </c>
    </row>
    <row r="9" spans="1:17" x14ac:dyDescent="0.25">
      <c r="A9" s="17" t="s">
        <v>256</v>
      </c>
      <c r="B9" s="17" t="s">
        <v>340</v>
      </c>
      <c r="C9" s="17">
        <v>545677</v>
      </c>
      <c r="D9" s="18">
        <v>43911</v>
      </c>
      <c r="E9" s="18">
        <f t="shared" si="0"/>
        <v>43920</v>
      </c>
      <c r="F9" s="18" t="str">
        <f t="shared" si="1"/>
        <v>Monday</v>
      </c>
      <c r="G9" s="18">
        <v>43925</v>
      </c>
      <c r="H9" s="17">
        <v>319376</v>
      </c>
      <c r="I9" s="17" t="s">
        <v>252</v>
      </c>
      <c r="J9" s="17" t="s">
        <v>253</v>
      </c>
      <c r="K9" s="19">
        <v>-450.12</v>
      </c>
      <c r="L9" s="20" t="str">
        <f t="shared" si="2"/>
        <v>Mar</v>
      </c>
      <c r="M9" s="20">
        <f t="shared" si="3"/>
        <v>21</v>
      </c>
      <c r="N9" s="20" t="str">
        <f>IF(tbl_McReport[[#This Row],[Payment Date]]&gt;tbl_McReport[[#This Row],[Due Date]],"Yes","")</f>
        <v>Yes</v>
      </c>
      <c r="O9" s="20">
        <f>IF(tbl_McReport[[#This Row],[Over Due]]="",0,NETWORKDAYS(tbl_McReport[[#This Row],[Due Date]],tbl_McReport[[#This Row],[Payment Date]],Holidays))</f>
        <v>5</v>
      </c>
      <c r="P9" s="19">
        <f>VLOOKUP(tbl_McReport[[#This Row],[Over Due By]],tbl_penalty_rate[],2)</f>
        <v>5.5</v>
      </c>
      <c r="Q9" s="42" t="str">
        <f>IF(AND(tbl_McReport[[#This Row],[Over Due By]]&gt;0,tbl_McReport[[#This Row],[Amount]]&gt;=500),"Action","")</f>
        <v/>
      </c>
    </row>
    <row r="10" spans="1:17" x14ac:dyDescent="0.25">
      <c r="A10" s="17" t="s">
        <v>257</v>
      </c>
      <c r="B10" s="17" t="s">
        <v>340</v>
      </c>
      <c r="C10" s="17">
        <v>545678</v>
      </c>
      <c r="D10" s="18">
        <v>43895</v>
      </c>
      <c r="E10" s="18">
        <f t="shared" si="0"/>
        <v>43903</v>
      </c>
      <c r="F10" s="18" t="str">
        <f t="shared" si="1"/>
        <v>Friday</v>
      </c>
      <c r="G10" s="18">
        <v>43925</v>
      </c>
      <c r="H10" s="17">
        <v>334724</v>
      </c>
      <c r="I10" s="17" t="s">
        <v>252</v>
      </c>
      <c r="J10" s="17" t="s">
        <v>253</v>
      </c>
      <c r="K10" s="19">
        <v>114.18</v>
      </c>
      <c r="L10" s="20" t="str">
        <f t="shared" si="2"/>
        <v>Mar</v>
      </c>
      <c r="M10" s="20">
        <f t="shared" si="3"/>
        <v>5</v>
      </c>
      <c r="N10" s="20" t="str">
        <f>IF(tbl_McReport[[#This Row],[Payment Date]]&gt;tbl_McReport[[#This Row],[Due Date]],"Yes","")</f>
        <v>Yes</v>
      </c>
      <c r="O10" s="20">
        <f>IF(tbl_McReport[[#This Row],[Over Due]]="",0,NETWORKDAYS(tbl_McReport[[#This Row],[Due Date]],tbl_McReport[[#This Row],[Payment Date]],Holidays))</f>
        <v>16</v>
      </c>
      <c r="P10" s="19">
        <f>VLOOKUP(tbl_McReport[[#This Row],[Over Due By]],tbl_penalty_rate[],2)</f>
        <v>25.9</v>
      </c>
      <c r="Q10" s="42" t="str">
        <f>IF(AND(tbl_McReport[[#This Row],[Over Due By]]&gt;0,tbl_McReport[[#This Row],[Amount]]&gt;=500),"Action","")</f>
        <v/>
      </c>
    </row>
    <row r="11" spans="1:17" x14ac:dyDescent="0.25">
      <c r="A11" s="17" t="s">
        <v>258</v>
      </c>
      <c r="B11" s="17" t="s">
        <v>340</v>
      </c>
      <c r="C11" s="17">
        <v>545679</v>
      </c>
      <c r="D11" s="18">
        <v>43896</v>
      </c>
      <c r="E11" s="18">
        <f t="shared" si="0"/>
        <v>43906</v>
      </c>
      <c r="F11" s="18" t="str">
        <f t="shared" si="1"/>
        <v>Monday</v>
      </c>
      <c r="G11" s="18">
        <v>43925</v>
      </c>
      <c r="H11" s="17">
        <v>310607</v>
      </c>
      <c r="I11" s="17" t="s">
        <v>252</v>
      </c>
      <c r="J11" s="17" t="s">
        <v>253</v>
      </c>
      <c r="K11" s="19">
        <v>930.93</v>
      </c>
      <c r="L11" s="20" t="str">
        <f t="shared" si="2"/>
        <v>Mar</v>
      </c>
      <c r="M11" s="20">
        <f t="shared" si="3"/>
        <v>6</v>
      </c>
      <c r="N11" s="20" t="str">
        <f>IF(tbl_McReport[[#This Row],[Payment Date]]&gt;tbl_McReport[[#This Row],[Due Date]],"Yes","")</f>
        <v>Yes</v>
      </c>
      <c r="O11" s="20">
        <f>IF(tbl_McReport[[#This Row],[Over Due]]="",0,NETWORKDAYS(tbl_McReport[[#This Row],[Due Date]],tbl_McReport[[#This Row],[Payment Date]],Holidays))</f>
        <v>15</v>
      </c>
      <c r="P11" s="19">
        <f>VLOOKUP(tbl_McReport[[#This Row],[Over Due By]],tbl_penalty_rate[],2)</f>
        <v>25.9</v>
      </c>
      <c r="Q11" s="42" t="str">
        <f>IF(AND(tbl_McReport[[#This Row],[Over Due By]]&gt;0,tbl_McReport[[#This Row],[Amount]]&gt;=500),"Action","")</f>
        <v>Action</v>
      </c>
    </row>
    <row r="12" spans="1:17" x14ac:dyDescent="0.25">
      <c r="A12" s="17" t="s">
        <v>259</v>
      </c>
      <c r="B12" s="17" t="s">
        <v>340</v>
      </c>
      <c r="C12" s="17">
        <v>545681</v>
      </c>
      <c r="D12" s="18">
        <v>43919</v>
      </c>
      <c r="E12" s="18">
        <f t="shared" si="0"/>
        <v>43927</v>
      </c>
      <c r="F12" s="18" t="str">
        <f t="shared" si="1"/>
        <v>Monday</v>
      </c>
      <c r="G12" s="18">
        <v>43925</v>
      </c>
      <c r="H12" s="17">
        <v>226225</v>
      </c>
      <c r="I12" s="17" t="s">
        <v>250</v>
      </c>
      <c r="J12" s="17" t="s">
        <v>251</v>
      </c>
      <c r="K12" s="19">
        <v>466.29</v>
      </c>
      <c r="L12" s="20" t="str">
        <f t="shared" si="2"/>
        <v>Mar</v>
      </c>
      <c r="M12" s="20">
        <f t="shared" si="3"/>
        <v>29</v>
      </c>
      <c r="N12" s="20" t="str">
        <f>IF(tbl_McReport[[#This Row],[Payment Date]]&gt;tbl_McReport[[#This Row],[Due Date]],"Yes","")</f>
        <v/>
      </c>
      <c r="O12" s="20">
        <f>IF(tbl_McReport[[#This Row],[Over Due]]="",0,NETWORKDAYS(tbl_McReport[[#This Row],[Due Date]],tbl_McReport[[#This Row],[Payment Date]],Holidays))</f>
        <v>0</v>
      </c>
      <c r="P12" s="19">
        <f>VLOOKUP(tbl_McReport[[#This Row],[Over Due By]],tbl_penalty_rate[],2)</f>
        <v>0</v>
      </c>
      <c r="Q12" s="42" t="str">
        <f>IF(AND(tbl_McReport[[#This Row],[Over Due By]]&gt;0,tbl_McReport[[#This Row],[Amount]]&gt;=500),"Action","")</f>
        <v/>
      </c>
    </row>
    <row r="13" spans="1:17" x14ac:dyDescent="0.25">
      <c r="A13" s="17" t="s">
        <v>260</v>
      </c>
      <c r="B13" s="17" t="s">
        <v>340</v>
      </c>
      <c r="C13" s="17">
        <v>545682</v>
      </c>
      <c r="D13" s="18">
        <v>43906</v>
      </c>
      <c r="E13" s="18">
        <f t="shared" si="0"/>
        <v>43914</v>
      </c>
      <c r="F13" s="18" t="str">
        <f t="shared" si="1"/>
        <v>Tuesday</v>
      </c>
      <c r="G13" s="18">
        <v>43926</v>
      </c>
      <c r="H13" s="17">
        <v>223858</v>
      </c>
      <c r="I13" s="17" t="s">
        <v>250</v>
      </c>
      <c r="J13" s="17" t="s">
        <v>251</v>
      </c>
      <c r="K13" s="19">
        <v>222.42</v>
      </c>
      <c r="L13" s="20" t="str">
        <f t="shared" si="2"/>
        <v>Mar</v>
      </c>
      <c r="M13" s="20">
        <f t="shared" si="3"/>
        <v>16</v>
      </c>
      <c r="N13" s="20" t="str">
        <f>IF(tbl_McReport[[#This Row],[Payment Date]]&gt;tbl_McReport[[#This Row],[Due Date]],"Yes","")</f>
        <v>Yes</v>
      </c>
      <c r="O13" s="20">
        <f>IF(tbl_McReport[[#This Row],[Over Due]]="",0,NETWORKDAYS(tbl_McReport[[#This Row],[Due Date]],tbl_McReport[[#This Row],[Payment Date]],Holidays))</f>
        <v>9</v>
      </c>
      <c r="P13" s="19">
        <f>VLOOKUP(tbl_McReport[[#This Row],[Over Due By]],tbl_penalty_rate[],2)</f>
        <v>5.5</v>
      </c>
      <c r="Q13" s="42" t="str">
        <f>IF(AND(tbl_McReport[[#This Row],[Over Due By]]&gt;0,tbl_McReport[[#This Row],[Amount]]&gt;=500),"Action","")</f>
        <v/>
      </c>
    </row>
    <row r="14" spans="1:17" x14ac:dyDescent="0.25">
      <c r="A14" s="17" t="s">
        <v>261</v>
      </c>
      <c r="B14" s="17" t="s">
        <v>340</v>
      </c>
      <c r="C14" s="17">
        <v>545683</v>
      </c>
      <c r="D14" s="18">
        <v>43904</v>
      </c>
      <c r="E14" s="18">
        <f t="shared" si="0"/>
        <v>43913</v>
      </c>
      <c r="F14" s="18" t="str">
        <f t="shared" si="1"/>
        <v>Monday</v>
      </c>
      <c r="G14" s="18">
        <v>43926</v>
      </c>
      <c r="H14" s="17">
        <v>211781</v>
      </c>
      <c r="I14" s="17" t="s">
        <v>250</v>
      </c>
      <c r="J14" s="17" t="s">
        <v>251</v>
      </c>
      <c r="K14" s="19">
        <v>679.8</v>
      </c>
      <c r="L14" s="20" t="str">
        <f t="shared" si="2"/>
        <v>Mar</v>
      </c>
      <c r="M14" s="20">
        <f t="shared" si="3"/>
        <v>14</v>
      </c>
      <c r="N14" s="20" t="str">
        <f>IF(tbl_McReport[[#This Row],[Payment Date]]&gt;tbl_McReport[[#This Row],[Due Date]],"Yes","")</f>
        <v>Yes</v>
      </c>
      <c r="O14" s="20">
        <f>IF(tbl_McReport[[#This Row],[Over Due]]="",0,NETWORKDAYS(tbl_McReport[[#This Row],[Due Date]],tbl_McReport[[#This Row],[Payment Date]],Holidays))</f>
        <v>10</v>
      </c>
      <c r="P14" s="19">
        <f>VLOOKUP(tbl_McReport[[#This Row],[Over Due By]],tbl_penalty_rate[],2)</f>
        <v>10.8</v>
      </c>
      <c r="Q14" s="42" t="str">
        <f>IF(AND(tbl_McReport[[#This Row],[Over Due By]]&gt;0,tbl_McReport[[#This Row],[Amount]]&gt;=500),"Action","")</f>
        <v>Action</v>
      </c>
    </row>
    <row r="15" spans="1:17" x14ac:dyDescent="0.25">
      <c r="A15" s="17" t="s">
        <v>262</v>
      </c>
      <c r="B15" s="17" t="s">
        <v>340</v>
      </c>
      <c r="C15" s="17">
        <v>545685</v>
      </c>
      <c r="D15" s="18">
        <v>43908</v>
      </c>
      <c r="E15" s="18">
        <f t="shared" si="0"/>
        <v>43916</v>
      </c>
      <c r="F15" s="18" t="str">
        <f t="shared" si="1"/>
        <v>Thursday</v>
      </c>
      <c r="G15" s="18">
        <v>43926</v>
      </c>
      <c r="H15" s="17">
        <v>232805</v>
      </c>
      <c r="I15" s="17" t="s">
        <v>250</v>
      </c>
      <c r="J15" s="17" t="s">
        <v>251</v>
      </c>
      <c r="K15" s="19">
        <v>171.93</v>
      </c>
      <c r="L15" s="20" t="str">
        <f t="shared" si="2"/>
        <v>Mar</v>
      </c>
      <c r="M15" s="20">
        <f t="shared" si="3"/>
        <v>18</v>
      </c>
      <c r="N15" s="20" t="str">
        <f>IF(tbl_McReport[[#This Row],[Payment Date]]&gt;tbl_McReport[[#This Row],[Due Date]],"Yes","")</f>
        <v>Yes</v>
      </c>
      <c r="O15" s="20">
        <f>IF(tbl_McReport[[#This Row],[Over Due]]="",0,NETWORKDAYS(tbl_McReport[[#This Row],[Due Date]],tbl_McReport[[#This Row],[Payment Date]],Holidays))</f>
        <v>7</v>
      </c>
      <c r="P15" s="19">
        <f>VLOOKUP(tbl_McReport[[#This Row],[Over Due By]],tbl_penalty_rate[],2)</f>
        <v>5.5</v>
      </c>
      <c r="Q15" s="42" t="str">
        <f>IF(AND(tbl_McReport[[#This Row],[Over Due By]]&gt;0,tbl_McReport[[#This Row],[Amount]]&gt;=500),"Action","")</f>
        <v/>
      </c>
    </row>
    <row r="16" spans="1:17" x14ac:dyDescent="0.25">
      <c r="A16" s="17" t="s">
        <v>263</v>
      </c>
      <c r="B16" s="17" t="s">
        <v>340</v>
      </c>
      <c r="C16" s="17">
        <v>545687</v>
      </c>
      <c r="D16" s="18">
        <v>43881</v>
      </c>
      <c r="E16" s="18">
        <f t="shared" si="0"/>
        <v>43889</v>
      </c>
      <c r="F16" s="18" t="str">
        <f t="shared" si="1"/>
        <v>Friday</v>
      </c>
      <c r="G16" s="18">
        <v>43926</v>
      </c>
      <c r="H16" s="17">
        <v>312187</v>
      </c>
      <c r="I16" s="17" t="s">
        <v>252</v>
      </c>
      <c r="J16" s="17" t="s">
        <v>253</v>
      </c>
      <c r="K16" s="19">
        <v>623.70000000000005</v>
      </c>
      <c r="L16" s="20" t="str">
        <f t="shared" si="2"/>
        <v>Feb</v>
      </c>
      <c r="M16" s="20">
        <f t="shared" si="3"/>
        <v>20</v>
      </c>
      <c r="N16" s="20" t="str">
        <f>IF(tbl_McReport[[#This Row],[Payment Date]]&gt;tbl_McReport[[#This Row],[Due Date]],"Yes","")</f>
        <v>Yes</v>
      </c>
      <c r="O16" s="20">
        <f>IF(tbl_McReport[[#This Row],[Over Due]]="",0,NETWORKDAYS(tbl_McReport[[#This Row],[Due Date]],tbl_McReport[[#This Row],[Payment Date]],Holidays))</f>
        <v>26</v>
      </c>
      <c r="P16" s="19">
        <f>VLOOKUP(tbl_McReport[[#This Row],[Over Due By]],tbl_penalty_rate[],2)</f>
        <v>25.9</v>
      </c>
      <c r="Q16" s="42" t="str">
        <f>IF(AND(tbl_McReport[[#This Row],[Over Due By]]&gt;0,tbl_McReport[[#This Row],[Amount]]&gt;=500),"Action","")</f>
        <v>Action</v>
      </c>
    </row>
    <row r="17" spans="1:20" x14ac:dyDescent="0.25">
      <c r="A17" s="17" t="s">
        <v>264</v>
      </c>
      <c r="B17" s="17" t="s">
        <v>340</v>
      </c>
      <c r="C17" s="17">
        <v>545689</v>
      </c>
      <c r="D17" s="18">
        <v>43897</v>
      </c>
      <c r="E17" s="18">
        <f t="shared" si="0"/>
        <v>43906</v>
      </c>
      <c r="F17" s="18" t="str">
        <f t="shared" si="1"/>
        <v>Monday</v>
      </c>
      <c r="G17" s="18">
        <v>43926</v>
      </c>
      <c r="H17" s="17">
        <v>319790</v>
      </c>
      <c r="I17" s="17" t="s">
        <v>252</v>
      </c>
      <c r="J17" s="17" t="s">
        <v>253</v>
      </c>
      <c r="K17" s="19">
        <v>221.1</v>
      </c>
      <c r="L17" s="20" t="str">
        <f t="shared" si="2"/>
        <v>Mar</v>
      </c>
      <c r="M17" s="20">
        <f t="shared" si="3"/>
        <v>7</v>
      </c>
      <c r="N17" s="20" t="str">
        <f>IF(tbl_McReport[[#This Row],[Payment Date]]&gt;tbl_McReport[[#This Row],[Due Date]],"Yes","")</f>
        <v>Yes</v>
      </c>
      <c r="O17" s="20">
        <f>IF(tbl_McReport[[#This Row],[Over Due]]="",0,NETWORKDAYS(tbl_McReport[[#This Row],[Due Date]],tbl_McReport[[#This Row],[Payment Date]],Holidays))</f>
        <v>15</v>
      </c>
      <c r="P17" s="19">
        <f>VLOOKUP(tbl_McReport[[#This Row],[Over Due By]],tbl_penalty_rate[],2)</f>
        <v>25.9</v>
      </c>
      <c r="Q17" s="42" t="str">
        <f>IF(AND(tbl_McReport[[#This Row],[Over Due By]]&gt;0,tbl_McReport[[#This Row],[Amount]]&gt;=500),"Action","")</f>
        <v/>
      </c>
    </row>
    <row r="18" spans="1:20" x14ac:dyDescent="0.25">
      <c r="A18" s="17" t="s">
        <v>265</v>
      </c>
      <c r="B18" s="17" t="s">
        <v>340</v>
      </c>
      <c r="C18" s="17">
        <v>545690</v>
      </c>
      <c r="D18" s="18">
        <v>43885</v>
      </c>
      <c r="E18" s="18">
        <f t="shared" si="0"/>
        <v>43893</v>
      </c>
      <c r="F18" s="18" t="str">
        <f t="shared" si="1"/>
        <v>Tuesday</v>
      </c>
      <c r="G18" s="18">
        <v>43927</v>
      </c>
      <c r="H18" s="17">
        <v>327342</v>
      </c>
      <c r="I18" s="17" t="s">
        <v>252</v>
      </c>
      <c r="J18" s="17" t="s">
        <v>253</v>
      </c>
      <c r="K18" s="19">
        <v>393.36</v>
      </c>
      <c r="L18" s="20" t="str">
        <f t="shared" si="2"/>
        <v>Feb</v>
      </c>
      <c r="M18" s="20">
        <f t="shared" si="3"/>
        <v>24</v>
      </c>
      <c r="N18" s="20" t="str">
        <f>IF(tbl_McReport[[#This Row],[Payment Date]]&gt;tbl_McReport[[#This Row],[Due Date]],"Yes","")</f>
        <v>Yes</v>
      </c>
      <c r="O18" s="20">
        <f>IF(tbl_McReport[[#This Row],[Over Due]]="",0,NETWORKDAYS(tbl_McReport[[#This Row],[Due Date]],tbl_McReport[[#This Row],[Payment Date]],Holidays))</f>
        <v>25</v>
      </c>
      <c r="P18" s="19">
        <f>VLOOKUP(tbl_McReport[[#This Row],[Over Due By]],tbl_penalty_rate[],2)</f>
        <v>25.9</v>
      </c>
      <c r="Q18" s="42" t="str">
        <f>IF(AND(tbl_McReport[[#This Row],[Over Due By]]&gt;0,tbl_McReport[[#This Row],[Amount]]&gt;=500),"Action","")</f>
        <v/>
      </c>
      <c r="S18" s="33" t="s">
        <v>378</v>
      </c>
      <c r="T18" s="33" t="s">
        <v>359</v>
      </c>
    </row>
    <row r="19" spans="1:20" x14ac:dyDescent="0.25">
      <c r="A19" s="17" t="s">
        <v>266</v>
      </c>
      <c r="B19" s="17" t="s">
        <v>340</v>
      </c>
      <c r="C19" s="17">
        <v>545691</v>
      </c>
      <c r="D19" s="18">
        <v>43892</v>
      </c>
      <c r="E19" s="18">
        <f t="shared" si="0"/>
        <v>43900</v>
      </c>
      <c r="F19" s="18" t="str">
        <f t="shared" si="1"/>
        <v>Tuesday</v>
      </c>
      <c r="G19" s="18">
        <v>43927</v>
      </c>
      <c r="H19" s="17">
        <v>335460</v>
      </c>
      <c r="I19" s="17" t="s">
        <v>252</v>
      </c>
      <c r="J19" s="17" t="s">
        <v>253</v>
      </c>
      <c r="K19" s="19">
        <v>642.17999999999995</v>
      </c>
      <c r="L19" s="20" t="str">
        <f t="shared" si="2"/>
        <v>Mar</v>
      </c>
      <c r="M19" s="20">
        <f t="shared" si="3"/>
        <v>2</v>
      </c>
      <c r="N19" s="20" t="str">
        <f>IF(tbl_McReport[[#This Row],[Payment Date]]&gt;tbl_McReport[[#This Row],[Due Date]],"Yes","")</f>
        <v>Yes</v>
      </c>
      <c r="O19" s="20">
        <f>IF(tbl_McReport[[#This Row],[Over Due]]="",0,NETWORKDAYS(tbl_McReport[[#This Row],[Due Date]],tbl_McReport[[#This Row],[Payment Date]],Holidays))</f>
        <v>20</v>
      </c>
      <c r="P19" s="19">
        <f>VLOOKUP(tbl_McReport[[#This Row],[Over Due By]],tbl_penalty_rate[],2)</f>
        <v>25.9</v>
      </c>
      <c r="Q19" s="42" t="str">
        <f>IF(AND(tbl_McReport[[#This Row],[Over Due By]]&gt;0,tbl_McReport[[#This Row],[Amount]]&gt;=500),"Action","")</f>
        <v>Action</v>
      </c>
      <c r="S19" s="34">
        <v>0</v>
      </c>
      <c r="T19" s="32">
        <v>0</v>
      </c>
    </row>
    <row r="20" spans="1:20" x14ac:dyDescent="0.25">
      <c r="A20" s="17" t="s">
        <v>267</v>
      </c>
      <c r="B20" s="17" t="s">
        <v>340</v>
      </c>
      <c r="C20" s="17">
        <v>545692</v>
      </c>
      <c r="D20" s="18">
        <v>43912</v>
      </c>
      <c r="E20" s="18">
        <f t="shared" si="0"/>
        <v>43920</v>
      </c>
      <c r="F20" s="18" t="str">
        <f t="shared" si="1"/>
        <v>Monday</v>
      </c>
      <c r="G20" s="18">
        <v>43927</v>
      </c>
      <c r="H20" s="17">
        <v>323955</v>
      </c>
      <c r="I20" s="17" t="s">
        <v>252</v>
      </c>
      <c r="J20" s="17" t="s">
        <v>253</v>
      </c>
      <c r="K20" s="19">
        <v>499.95</v>
      </c>
      <c r="L20" s="20" t="str">
        <f t="shared" si="2"/>
        <v>Mar</v>
      </c>
      <c r="M20" s="20">
        <f t="shared" si="3"/>
        <v>22</v>
      </c>
      <c r="N20" s="20" t="str">
        <f>IF(tbl_McReport[[#This Row],[Payment Date]]&gt;tbl_McReport[[#This Row],[Due Date]],"Yes","")</f>
        <v>Yes</v>
      </c>
      <c r="O20" s="20">
        <f>IF(tbl_McReport[[#This Row],[Over Due]]="",0,NETWORKDAYS(tbl_McReport[[#This Row],[Due Date]],tbl_McReport[[#This Row],[Payment Date]],Holidays))</f>
        <v>6</v>
      </c>
      <c r="P20" s="19">
        <f>VLOOKUP(tbl_McReport[[#This Row],[Over Due By]],tbl_penalty_rate[],2)</f>
        <v>5.5</v>
      </c>
      <c r="Q20" s="42" t="str">
        <f>IF(AND(tbl_McReport[[#This Row],[Over Due By]]&gt;0,tbl_McReport[[#This Row],[Amount]]&gt;=500),"Action","")</f>
        <v/>
      </c>
      <c r="S20" s="34">
        <v>1</v>
      </c>
      <c r="T20" s="32">
        <v>2.25</v>
      </c>
    </row>
    <row r="21" spans="1:20" x14ac:dyDescent="0.25">
      <c r="A21" s="17" t="s">
        <v>268</v>
      </c>
      <c r="B21" s="17" t="s">
        <v>340</v>
      </c>
      <c r="C21" s="17">
        <v>545693</v>
      </c>
      <c r="D21" s="18">
        <v>43891</v>
      </c>
      <c r="E21" s="18">
        <f t="shared" si="0"/>
        <v>43899</v>
      </c>
      <c r="F21" s="18" t="str">
        <f t="shared" si="1"/>
        <v>Monday</v>
      </c>
      <c r="G21" s="18">
        <v>43928</v>
      </c>
      <c r="H21" s="17">
        <v>316515</v>
      </c>
      <c r="I21" s="17" t="s">
        <v>252</v>
      </c>
      <c r="J21" s="17" t="s">
        <v>253</v>
      </c>
      <c r="K21" s="19">
        <v>299.64</v>
      </c>
      <c r="L21" s="20" t="str">
        <f t="shared" si="2"/>
        <v>Mar</v>
      </c>
      <c r="M21" s="20">
        <f t="shared" si="3"/>
        <v>1</v>
      </c>
      <c r="N21" s="20" t="str">
        <f>IF(tbl_McReport[[#This Row],[Payment Date]]&gt;tbl_McReport[[#This Row],[Due Date]],"Yes","")</f>
        <v>Yes</v>
      </c>
      <c r="O21" s="20">
        <f>IF(tbl_McReport[[#This Row],[Over Due]]="",0,NETWORKDAYS(tbl_McReport[[#This Row],[Due Date]],tbl_McReport[[#This Row],[Payment Date]],Holidays))</f>
        <v>22</v>
      </c>
      <c r="P21" s="19">
        <f>VLOOKUP(tbl_McReport[[#This Row],[Over Due By]],tbl_penalty_rate[],2)</f>
        <v>25.9</v>
      </c>
      <c r="Q21" s="42" t="str">
        <f>IF(AND(tbl_McReport[[#This Row],[Over Due By]]&gt;0,tbl_McReport[[#This Row],[Amount]]&gt;=500),"Action","")</f>
        <v/>
      </c>
      <c r="S21" s="34">
        <v>5</v>
      </c>
      <c r="T21" s="32">
        <v>5.5</v>
      </c>
    </row>
    <row r="22" spans="1:20" x14ac:dyDescent="0.25">
      <c r="A22" s="17" t="s">
        <v>269</v>
      </c>
      <c r="B22" s="17" t="s">
        <v>340</v>
      </c>
      <c r="C22" s="17">
        <v>545695</v>
      </c>
      <c r="D22" s="18">
        <v>43886</v>
      </c>
      <c r="E22" s="18">
        <f t="shared" si="0"/>
        <v>43894</v>
      </c>
      <c r="F22" s="18" t="str">
        <f t="shared" si="1"/>
        <v>Wednesday</v>
      </c>
      <c r="G22" s="18">
        <v>43928</v>
      </c>
      <c r="H22" s="17">
        <v>231320</v>
      </c>
      <c r="I22" s="17" t="s">
        <v>250</v>
      </c>
      <c r="J22" s="17" t="s">
        <v>251</v>
      </c>
      <c r="K22" s="19">
        <v>312.83999999999997</v>
      </c>
      <c r="L22" s="20" t="str">
        <f t="shared" si="2"/>
        <v>Feb</v>
      </c>
      <c r="M22" s="20">
        <f t="shared" si="3"/>
        <v>25</v>
      </c>
      <c r="N22" s="20" t="str">
        <f>IF(tbl_McReport[[#This Row],[Payment Date]]&gt;tbl_McReport[[#This Row],[Due Date]],"Yes","")</f>
        <v>Yes</v>
      </c>
      <c r="O22" s="20">
        <f>IF(tbl_McReport[[#This Row],[Over Due]]="",0,NETWORKDAYS(tbl_McReport[[#This Row],[Due Date]],tbl_McReport[[#This Row],[Payment Date]],Holidays))</f>
        <v>25</v>
      </c>
      <c r="P22" s="19">
        <f>VLOOKUP(tbl_McReport[[#This Row],[Over Due By]],tbl_penalty_rate[],2)</f>
        <v>25.9</v>
      </c>
      <c r="Q22" s="42" t="str">
        <f>IF(AND(tbl_McReport[[#This Row],[Over Due By]]&gt;0,tbl_McReport[[#This Row],[Amount]]&gt;=500),"Action","")</f>
        <v/>
      </c>
      <c r="S22" s="34">
        <v>10</v>
      </c>
      <c r="T22" s="32">
        <v>10.8</v>
      </c>
    </row>
    <row r="23" spans="1:20" x14ac:dyDescent="0.25">
      <c r="A23" s="17" t="s">
        <v>270</v>
      </c>
      <c r="B23" s="17" t="s">
        <v>340</v>
      </c>
      <c r="C23" s="17">
        <v>545696</v>
      </c>
      <c r="D23" s="18">
        <v>43888</v>
      </c>
      <c r="E23" s="18">
        <f t="shared" si="0"/>
        <v>43896</v>
      </c>
      <c r="F23" s="18" t="str">
        <f t="shared" si="1"/>
        <v>Friday</v>
      </c>
      <c r="G23" s="18">
        <v>43928</v>
      </c>
      <c r="H23" s="17">
        <v>213670</v>
      </c>
      <c r="I23" s="17" t="s">
        <v>250</v>
      </c>
      <c r="J23" s="17" t="s">
        <v>251</v>
      </c>
      <c r="K23" s="19">
        <v>993.63</v>
      </c>
      <c r="L23" s="20" t="str">
        <f t="shared" si="2"/>
        <v>Feb</v>
      </c>
      <c r="M23" s="20">
        <f t="shared" si="3"/>
        <v>27</v>
      </c>
      <c r="N23" s="20" t="str">
        <f>IF(tbl_McReport[[#This Row],[Payment Date]]&gt;tbl_McReport[[#This Row],[Due Date]],"Yes","")</f>
        <v>Yes</v>
      </c>
      <c r="O23" s="20">
        <f>IF(tbl_McReport[[#This Row],[Over Due]]="",0,NETWORKDAYS(tbl_McReport[[#This Row],[Due Date]],tbl_McReport[[#This Row],[Payment Date]],Holidays))</f>
        <v>23</v>
      </c>
      <c r="P23" s="19">
        <f>VLOOKUP(tbl_McReport[[#This Row],[Over Due By]],tbl_penalty_rate[],2)</f>
        <v>25.9</v>
      </c>
      <c r="Q23" s="42" t="str">
        <f>IF(AND(tbl_McReport[[#This Row],[Over Due By]]&gt;0,tbl_McReport[[#This Row],[Amount]]&gt;=500),"Action","")</f>
        <v>Action</v>
      </c>
      <c r="S23" s="34">
        <v>15</v>
      </c>
      <c r="T23" s="32">
        <v>25.9</v>
      </c>
    </row>
    <row r="24" spans="1:20" x14ac:dyDescent="0.25">
      <c r="A24" s="17" t="s">
        <v>271</v>
      </c>
      <c r="B24" s="17" t="s">
        <v>340</v>
      </c>
      <c r="C24" s="17">
        <v>545697</v>
      </c>
      <c r="D24" s="18">
        <v>43914</v>
      </c>
      <c r="E24" s="18">
        <f t="shared" si="0"/>
        <v>43922</v>
      </c>
      <c r="F24" s="18" t="str">
        <f t="shared" si="1"/>
        <v>Wednesday</v>
      </c>
      <c r="G24" s="18">
        <v>43928</v>
      </c>
      <c r="H24" s="17">
        <v>226166</v>
      </c>
      <c r="I24" s="17" t="s">
        <v>250</v>
      </c>
      <c r="J24" s="17" t="s">
        <v>251</v>
      </c>
      <c r="K24" s="19">
        <v>1053.69</v>
      </c>
      <c r="L24" s="20" t="str">
        <f t="shared" si="2"/>
        <v>Mar</v>
      </c>
      <c r="M24" s="20">
        <f t="shared" si="3"/>
        <v>24</v>
      </c>
      <c r="N24" s="20" t="str">
        <f>IF(tbl_McReport[[#This Row],[Payment Date]]&gt;tbl_McReport[[#This Row],[Due Date]],"Yes","")</f>
        <v>Yes</v>
      </c>
      <c r="O24" s="20">
        <f>IF(tbl_McReport[[#This Row],[Over Due]]="",0,NETWORKDAYS(tbl_McReport[[#This Row],[Due Date]],tbl_McReport[[#This Row],[Payment Date]],Holidays))</f>
        <v>5</v>
      </c>
      <c r="P24" s="19">
        <f>VLOOKUP(tbl_McReport[[#This Row],[Over Due By]],tbl_penalty_rate[],2)</f>
        <v>5.5</v>
      </c>
      <c r="Q24" s="42" t="str">
        <f>IF(AND(tbl_McReport[[#This Row],[Over Due By]]&gt;0,tbl_McReport[[#This Row],[Amount]]&gt;=500),"Action","")</f>
        <v>Action</v>
      </c>
    </row>
    <row r="25" spans="1:20" x14ac:dyDescent="0.25">
      <c r="A25" s="17" t="s">
        <v>272</v>
      </c>
      <c r="B25" s="17" t="s">
        <v>340</v>
      </c>
      <c r="C25" s="17">
        <v>545698</v>
      </c>
      <c r="D25" s="18">
        <v>43888</v>
      </c>
      <c r="E25" s="18">
        <f t="shared" si="0"/>
        <v>43896</v>
      </c>
      <c r="F25" s="18" t="str">
        <f t="shared" si="1"/>
        <v>Friday</v>
      </c>
      <c r="G25" s="18">
        <v>43929</v>
      </c>
      <c r="H25" s="17">
        <v>316479</v>
      </c>
      <c r="I25" s="17" t="s">
        <v>252</v>
      </c>
      <c r="J25" s="17" t="s">
        <v>253</v>
      </c>
      <c r="K25" s="19">
        <v>1047.75</v>
      </c>
      <c r="L25" s="20" t="str">
        <f t="shared" si="2"/>
        <v>Feb</v>
      </c>
      <c r="M25" s="20">
        <f t="shared" si="3"/>
        <v>27</v>
      </c>
      <c r="N25" s="20" t="str">
        <f>IF(tbl_McReport[[#This Row],[Payment Date]]&gt;tbl_McReport[[#This Row],[Due Date]],"Yes","")</f>
        <v>Yes</v>
      </c>
      <c r="O25" s="20">
        <f>IF(tbl_McReport[[#This Row],[Over Due]]="",0,NETWORKDAYS(tbl_McReport[[#This Row],[Due Date]],tbl_McReport[[#This Row],[Payment Date]],Holidays))</f>
        <v>24</v>
      </c>
      <c r="P25" s="19">
        <f>VLOOKUP(tbl_McReport[[#This Row],[Over Due By]],tbl_penalty_rate[],2)</f>
        <v>25.9</v>
      </c>
      <c r="Q25" s="42" t="str">
        <f>IF(AND(tbl_McReport[[#This Row],[Over Due By]]&gt;0,tbl_McReport[[#This Row],[Amount]]&gt;=500),"Action","")</f>
        <v>Action</v>
      </c>
    </row>
    <row r="26" spans="1:20" x14ac:dyDescent="0.25">
      <c r="A26" s="17" t="s">
        <v>273</v>
      </c>
      <c r="B26" s="17" t="s">
        <v>340</v>
      </c>
      <c r="C26" s="17">
        <v>545700</v>
      </c>
      <c r="D26" s="18">
        <v>43907</v>
      </c>
      <c r="E26" s="18">
        <f t="shared" si="0"/>
        <v>43915</v>
      </c>
      <c r="F26" s="18" t="str">
        <f t="shared" si="1"/>
        <v>Wednesday</v>
      </c>
      <c r="G26" s="18">
        <v>43929</v>
      </c>
      <c r="H26" s="17">
        <v>230046</v>
      </c>
      <c r="I26" s="17" t="s">
        <v>250</v>
      </c>
      <c r="J26" s="17" t="s">
        <v>251</v>
      </c>
      <c r="K26" s="19">
        <v>1096.92</v>
      </c>
      <c r="L26" s="20" t="str">
        <f t="shared" si="2"/>
        <v>Mar</v>
      </c>
      <c r="M26" s="20">
        <f t="shared" si="3"/>
        <v>17</v>
      </c>
      <c r="N26" s="20" t="str">
        <f>IF(tbl_McReport[[#This Row],[Payment Date]]&gt;tbl_McReport[[#This Row],[Due Date]],"Yes","")</f>
        <v>Yes</v>
      </c>
      <c r="O26" s="20">
        <f>IF(tbl_McReport[[#This Row],[Over Due]]="",0,NETWORKDAYS(tbl_McReport[[#This Row],[Due Date]],tbl_McReport[[#This Row],[Payment Date]],Holidays))</f>
        <v>11</v>
      </c>
      <c r="P26" s="19">
        <f>VLOOKUP(tbl_McReport[[#This Row],[Over Due By]],tbl_penalty_rate[],2)</f>
        <v>10.8</v>
      </c>
      <c r="Q26" s="42" t="str">
        <f>IF(AND(tbl_McReport[[#This Row],[Over Due By]]&gt;0,tbl_McReport[[#This Row],[Amount]]&gt;=500),"Action","")</f>
        <v>Action</v>
      </c>
    </row>
    <row r="27" spans="1:20" x14ac:dyDescent="0.25">
      <c r="A27" s="17" t="s">
        <v>274</v>
      </c>
      <c r="B27" s="17" t="s">
        <v>340</v>
      </c>
      <c r="C27" s="17">
        <v>545702</v>
      </c>
      <c r="D27" s="18">
        <v>43921</v>
      </c>
      <c r="E27" s="18">
        <f t="shared" si="0"/>
        <v>43929</v>
      </c>
      <c r="F27" s="18" t="str">
        <f t="shared" si="1"/>
        <v>Wednesday</v>
      </c>
      <c r="G27" s="18">
        <v>43929</v>
      </c>
      <c r="H27" s="17">
        <v>224680</v>
      </c>
      <c r="I27" s="17" t="s">
        <v>250</v>
      </c>
      <c r="J27" s="17" t="s">
        <v>251</v>
      </c>
      <c r="K27" s="19">
        <v>257.07</v>
      </c>
      <c r="L27" s="20" t="str">
        <f t="shared" si="2"/>
        <v>Mar</v>
      </c>
      <c r="M27" s="20">
        <f t="shared" si="3"/>
        <v>31</v>
      </c>
      <c r="N27" s="20" t="str">
        <f>IF(tbl_McReport[[#This Row],[Payment Date]]&gt;tbl_McReport[[#This Row],[Due Date]],"Yes","")</f>
        <v/>
      </c>
      <c r="O27" s="20">
        <f>IF(tbl_McReport[[#This Row],[Over Due]]="",0,NETWORKDAYS(tbl_McReport[[#This Row],[Due Date]],tbl_McReport[[#This Row],[Payment Date]],Holidays))</f>
        <v>0</v>
      </c>
      <c r="P27" s="19">
        <f>VLOOKUP(tbl_McReport[[#This Row],[Over Due By]],tbl_penalty_rate[],2)</f>
        <v>0</v>
      </c>
      <c r="Q27" s="42" t="str">
        <f>IF(AND(tbl_McReport[[#This Row],[Over Due By]]&gt;0,tbl_McReport[[#This Row],[Amount]]&gt;=500),"Action","")</f>
        <v/>
      </c>
    </row>
    <row r="28" spans="1:20" x14ac:dyDescent="0.25">
      <c r="A28" s="17" t="s">
        <v>275</v>
      </c>
      <c r="B28" s="17" t="s">
        <v>340</v>
      </c>
      <c r="C28" s="17">
        <v>545703</v>
      </c>
      <c r="D28" s="18">
        <v>43916</v>
      </c>
      <c r="E28" s="18">
        <f t="shared" si="0"/>
        <v>43924</v>
      </c>
      <c r="F28" s="18" t="str">
        <f t="shared" si="1"/>
        <v>Friday</v>
      </c>
      <c r="G28" s="18">
        <v>43929</v>
      </c>
      <c r="H28" s="17">
        <v>238023</v>
      </c>
      <c r="I28" s="17" t="s">
        <v>250</v>
      </c>
      <c r="J28" s="17" t="s">
        <v>251</v>
      </c>
      <c r="K28" s="19">
        <v>215.49</v>
      </c>
      <c r="L28" s="20" t="str">
        <f t="shared" si="2"/>
        <v>Mar</v>
      </c>
      <c r="M28" s="20">
        <f t="shared" si="3"/>
        <v>26</v>
      </c>
      <c r="N28" s="20" t="str">
        <f>IF(tbl_McReport[[#This Row],[Payment Date]]&gt;tbl_McReport[[#This Row],[Due Date]],"Yes","")</f>
        <v>Yes</v>
      </c>
      <c r="O28" s="20">
        <f>IF(tbl_McReport[[#This Row],[Over Due]]="",0,NETWORKDAYS(tbl_McReport[[#This Row],[Due Date]],tbl_McReport[[#This Row],[Payment Date]],Holidays))</f>
        <v>4</v>
      </c>
      <c r="P28" s="19">
        <f>VLOOKUP(tbl_McReport[[#This Row],[Over Due By]],tbl_penalty_rate[],2)</f>
        <v>2.25</v>
      </c>
      <c r="Q28" s="42" t="str">
        <f>IF(AND(tbl_McReport[[#This Row],[Over Due By]]&gt;0,tbl_McReport[[#This Row],[Amount]]&gt;=500),"Action","")</f>
        <v/>
      </c>
    </row>
    <row r="29" spans="1:20" x14ac:dyDescent="0.25">
      <c r="A29" s="17" t="s">
        <v>276</v>
      </c>
      <c r="B29" s="17" t="s">
        <v>340</v>
      </c>
      <c r="C29" s="17">
        <v>545705</v>
      </c>
      <c r="D29" s="18">
        <v>43887</v>
      </c>
      <c r="E29" s="18">
        <f t="shared" si="0"/>
        <v>43895</v>
      </c>
      <c r="F29" s="18" t="str">
        <f t="shared" si="1"/>
        <v>Thursday</v>
      </c>
      <c r="G29" s="18">
        <v>43929</v>
      </c>
      <c r="H29" s="17">
        <v>224184</v>
      </c>
      <c r="I29" s="17" t="s">
        <v>250</v>
      </c>
      <c r="J29" s="17" t="s">
        <v>251</v>
      </c>
      <c r="K29" s="19">
        <v>455.07</v>
      </c>
      <c r="L29" s="20" t="str">
        <f t="shared" si="2"/>
        <v>Feb</v>
      </c>
      <c r="M29" s="20">
        <f t="shared" si="3"/>
        <v>26</v>
      </c>
      <c r="N29" s="20" t="str">
        <f>IF(tbl_McReport[[#This Row],[Payment Date]]&gt;tbl_McReport[[#This Row],[Due Date]],"Yes","")</f>
        <v>Yes</v>
      </c>
      <c r="O29" s="20">
        <f>IF(tbl_McReport[[#This Row],[Over Due]]="",0,NETWORKDAYS(tbl_McReport[[#This Row],[Due Date]],tbl_McReport[[#This Row],[Payment Date]],Holidays))</f>
        <v>25</v>
      </c>
      <c r="P29" s="19">
        <f>VLOOKUP(tbl_McReport[[#This Row],[Over Due By]],tbl_penalty_rate[],2)</f>
        <v>25.9</v>
      </c>
      <c r="Q29" s="42" t="str">
        <f>IF(AND(tbl_McReport[[#This Row],[Over Due By]]&gt;0,tbl_McReport[[#This Row],[Amount]]&gt;=500),"Action","")</f>
        <v/>
      </c>
    </row>
    <row r="30" spans="1:20" x14ac:dyDescent="0.25">
      <c r="A30" s="17" t="s">
        <v>277</v>
      </c>
      <c r="B30" s="17" t="s">
        <v>340</v>
      </c>
      <c r="C30" s="17">
        <v>545706</v>
      </c>
      <c r="D30" s="18">
        <v>43923</v>
      </c>
      <c r="E30" s="18">
        <f t="shared" si="0"/>
        <v>43931</v>
      </c>
      <c r="F30" s="18" t="str">
        <f t="shared" si="1"/>
        <v>Friday</v>
      </c>
      <c r="G30" s="18">
        <v>43930</v>
      </c>
      <c r="H30" s="17">
        <v>216205</v>
      </c>
      <c r="I30" s="17" t="s">
        <v>250</v>
      </c>
      <c r="J30" s="17" t="s">
        <v>251</v>
      </c>
      <c r="K30" s="19">
        <v>711.81</v>
      </c>
      <c r="L30" s="20" t="str">
        <f t="shared" si="2"/>
        <v>Apr</v>
      </c>
      <c r="M30" s="20">
        <f t="shared" si="3"/>
        <v>2</v>
      </c>
      <c r="N30" s="20" t="str">
        <f>IF(tbl_McReport[[#This Row],[Payment Date]]&gt;tbl_McReport[[#This Row],[Due Date]],"Yes","")</f>
        <v/>
      </c>
      <c r="O30" s="20">
        <f>IF(tbl_McReport[[#This Row],[Over Due]]="",0,NETWORKDAYS(tbl_McReport[[#This Row],[Due Date]],tbl_McReport[[#This Row],[Payment Date]],Holidays))</f>
        <v>0</v>
      </c>
      <c r="P30" s="19">
        <f>VLOOKUP(tbl_McReport[[#This Row],[Over Due By]],tbl_penalty_rate[],2)</f>
        <v>0</v>
      </c>
      <c r="Q30" s="42" t="str">
        <f>IF(AND(tbl_McReport[[#This Row],[Over Due By]]&gt;0,tbl_McReport[[#This Row],[Amount]]&gt;=500),"Action","")</f>
        <v/>
      </c>
    </row>
    <row r="31" spans="1:20" x14ac:dyDescent="0.25">
      <c r="A31" s="17" t="s">
        <v>278</v>
      </c>
      <c r="B31" s="17" t="s">
        <v>340</v>
      </c>
      <c r="C31" s="17">
        <v>545707</v>
      </c>
      <c r="D31" s="18">
        <v>43907</v>
      </c>
      <c r="E31" s="18">
        <f t="shared" si="0"/>
        <v>43915</v>
      </c>
      <c r="F31" s="18" t="str">
        <f t="shared" si="1"/>
        <v>Wednesday</v>
      </c>
      <c r="G31" s="18">
        <v>43931</v>
      </c>
      <c r="H31" s="17">
        <v>331383</v>
      </c>
      <c r="I31" s="17" t="s">
        <v>252</v>
      </c>
      <c r="J31" s="17" t="s">
        <v>253</v>
      </c>
      <c r="K31" s="19">
        <v>78.540000000000006</v>
      </c>
      <c r="L31" s="20" t="str">
        <f t="shared" si="2"/>
        <v>Mar</v>
      </c>
      <c r="M31" s="20">
        <f t="shared" si="3"/>
        <v>17</v>
      </c>
      <c r="N31" s="20" t="str">
        <f>IF(tbl_McReport[[#This Row],[Payment Date]]&gt;tbl_McReport[[#This Row],[Due Date]],"Yes","")</f>
        <v>Yes</v>
      </c>
      <c r="O31" s="20">
        <f>IF(tbl_McReport[[#This Row],[Over Due]]="",0,NETWORKDAYS(tbl_McReport[[#This Row],[Due Date]],tbl_McReport[[#This Row],[Payment Date]],Holidays))</f>
        <v>12</v>
      </c>
      <c r="P31" s="19">
        <f>VLOOKUP(tbl_McReport[[#This Row],[Over Due By]],tbl_penalty_rate[],2)</f>
        <v>10.8</v>
      </c>
      <c r="Q31" s="42" t="str">
        <f>IF(AND(tbl_McReport[[#This Row],[Over Due By]]&gt;0,tbl_McReport[[#This Row],[Amount]]&gt;=500),"Action","")</f>
        <v/>
      </c>
    </row>
    <row r="32" spans="1:20" x14ac:dyDescent="0.25">
      <c r="A32" s="17" t="s">
        <v>279</v>
      </c>
      <c r="B32" s="17" t="s">
        <v>340</v>
      </c>
      <c r="C32" s="17">
        <v>545708</v>
      </c>
      <c r="D32" s="18">
        <v>43886</v>
      </c>
      <c r="E32" s="18">
        <f t="shared" si="0"/>
        <v>43894</v>
      </c>
      <c r="F32" s="18" t="str">
        <f t="shared" si="1"/>
        <v>Wednesday</v>
      </c>
      <c r="G32" s="18">
        <v>43931</v>
      </c>
      <c r="H32" s="17">
        <v>335282</v>
      </c>
      <c r="I32" s="17" t="s">
        <v>252</v>
      </c>
      <c r="J32" s="17" t="s">
        <v>253</v>
      </c>
      <c r="K32" s="19">
        <v>302.61</v>
      </c>
      <c r="L32" s="20" t="str">
        <f t="shared" si="2"/>
        <v>Feb</v>
      </c>
      <c r="M32" s="20">
        <f t="shared" si="3"/>
        <v>25</v>
      </c>
      <c r="N32" s="20" t="str">
        <f>IF(tbl_McReport[[#This Row],[Payment Date]]&gt;tbl_McReport[[#This Row],[Due Date]],"Yes","")</f>
        <v>Yes</v>
      </c>
      <c r="O32" s="20">
        <f>IF(tbl_McReport[[#This Row],[Over Due]]="",0,NETWORKDAYS(tbl_McReport[[#This Row],[Due Date]],tbl_McReport[[#This Row],[Payment Date]],Holidays))</f>
        <v>27</v>
      </c>
      <c r="P32" s="19">
        <f>VLOOKUP(tbl_McReport[[#This Row],[Over Due By]],tbl_penalty_rate[],2)</f>
        <v>25.9</v>
      </c>
      <c r="Q32" s="42" t="str">
        <f>IF(AND(tbl_McReport[[#This Row],[Over Due By]]&gt;0,tbl_McReport[[#This Row],[Amount]]&gt;=500),"Action","")</f>
        <v/>
      </c>
    </row>
    <row r="33" spans="1:17" x14ac:dyDescent="0.25">
      <c r="A33" s="17" t="s">
        <v>280</v>
      </c>
      <c r="B33" s="17" t="s">
        <v>340</v>
      </c>
      <c r="C33" s="17">
        <v>545710</v>
      </c>
      <c r="D33" s="18">
        <v>43921</v>
      </c>
      <c r="E33" s="18">
        <f t="shared" si="0"/>
        <v>43929</v>
      </c>
      <c r="F33" s="18" t="str">
        <f t="shared" si="1"/>
        <v>Wednesday</v>
      </c>
      <c r="G33" s="18">
        <v>43931</v>
      </c>
      <c r="H33" s="17">
        <v>330858</v>
      </c>
      <c r="I33" s="17" t="s">
        <v>252</v>
      </c>
      <c r="J33" s="17" t="s">
        <v>253</v>
      </c>
      <c r="K33" s="19">
        <v>426.03</v>
      </c>
      <c r="L33" s="20" t="str">
        <f t="shared" si="2"/>
        <v>Mar</v>
      </c>
      <c r="M33" s="20">
        <f t="shared" si="3"/>
        <v>31</v>
      </c>
      <c r="N33" s="20" t="str">
        <f>IF(tbl_McReport[[#This Row],[Payment Date]]&gt;tbl_McReport[[#This Row],[Due Date]],"Yes","")</f>
        <v>Yes</v>
      </c>
      <c r="O33" s="20">
        <f>IF(tbl_McReport[[#This Row],[Over Due]]="",0,NETWORKDAYS(tbl_McReport[[#This Row],[Due Date]],tbl_McReport[[#This Row],[Payment Date]],Holidays))</f>
        <v>2</v>
      </c>
      <c r="P33" s="19">
        <f>VLOOKUP(tbl_McReport[[#This Row],[Over Due By]],tbl_penalty_rate[],2)</f>
        <v>2.25</v>
      </c>
      <c r="Q33" s="42" t="str">
        <f>IF(AND(tbl_McReport[[#This Row],[Over Due By]]&gt;0,tbl_McReport[[#This Row],[Amount]]&gt;=500),"Action","")</f>
        <v/>
      </c>
    </row>
    <row r="34" spans="1:17" x14ac:dyDescent="0.25">
      <c r="A34" s="17" t="s">
        <v>281</v>
      </c>
      <c r="B34" s="17" t="s">
        <v>340</v>
      </c>
      <c r="C34" s="17">
        <v>545711</v>
      </c>
      <c r="D34" s="18">
        <v>43900</v>
      </c>
      <c r="E34" s="18">
        <f t="shared" si="0"/>
        <v>43908</v>
      </c>
      <c r="F34" s="18" t="str">
        <f t="shared" si="1"/>
        <v>Wednesday</v>
      </c>
      <c r="G34" s="18">
        <v>43931</v>
      </c>
      <c r="H34" s="17">
        <v>238202</v>
      </c>
      <c r="I34" s="17" t="s">
        <v>250</v>
      </c>
      <c r="J34" s="17" t="s">
        <v>251</v>
      </c>
      <c r="K34" s="19">
        <v>489.72</v>
      </c>
      <c r="L34" s="20" t="str">
        <f t="shared" si="2"/>
        <v>Mar</v>
      </c>
      <c r="M34" s="20">
        <f t="shared" si="3"/>
        <v>10</v>
      </c>
      <c r="N34" s="20" t="str">
        <f>IF(tbl_McReport[[#This Row],[Payment Date]]&gt;tbl_McReport[[#This Row],[Due Date]],"Yes","")</f>
        <v>Yes</v>
      </c>
      <c r="O34" s="20">
        <f>IF(tbl_McReport[[#This Row],[Over Due]]="",0,NETWORKDAYS(tbl_McReport[[#This Row],[Due Date]],tbl_McReport[[#This Row],[Payment Date]],Holidays))</f>
        <v>17</v>
      </c>
      <c r="P34" s="19">
        <f>VLOOKUP(tbl_McReport[[#This Row],[Over Due By]],tbl_penalty_rate[],2)</f>
        <v>25.9</v>
      </c>
      <c r="Q34" s="42" t="str">
        <f>IF(AND(tbl_McReport[[#This Row],[Over Due By]]&gt;0,tbl_McReport[[#This Row],[Amount]]&gt;=500),"Action","")</f>
        <v/>
      </c>
    </row>
    <row r="35" spans="1:17" x14ac:dyDescent="0.25">
      <c r="A35" s="17" t="s">
        <v>282</v>
      </c>
      <c r="B35" s="17" t="s">
        <v>340</v>
      </c>
      <c r="C35" s="17">
        <v>545713</v>
      </c>
      <c r="D35" s="18">
        <v>43899</v>
      </c>
      <c r="E35" s="18">
        <f t="shared" si="0"/>
        <v>43907</v>
      </c>
      <c r="F35" s="18" t="str">
        <f t="shared" si="1"/>
        <v>Tuesday</v>
      </c>
      <c r="G35" s="18">
        <v>43932</v>
      </c>
      <c r="H35" s="17">
        <v>217217</v>
      </c>
      <c r="I35" s="17" t="s">
        <v>250</v>
      </c>
      <c r="J35" s="17" t="s">
        <v>251</v>
      </c>
      <c r="K35" s="19">
        <v>352.44</v>
      </c>
      <c r="L35" s="20" t="str">
        <f t="shared" si="2"/>
        <v>Mar</v>
      </c>
      <c r="M35" s="20">
        <f t="shared" si="3"/>
        <v>9</v>
      </c>
      <c r="N35" s="20" t="str">
        <f>IF(tbl_McReport[[#This Row],[Payment Date]]&gt;tbl_McReport[[#This Row],[Due Date]],"Yes","")</f>
        <v>Yes</v>
      </c>
      <c r="O35" s="20">
        <f>IF(tbl_McReport[[#This Row],[Over Due]]="",0,NETWORKDAYS(tbl_McReport[[#This Row],[Due Date]],tbl_McReport[[#This Row],[Payment Date]],Holidays))</f>
        <v>18</v>
      </c>
      <c r="P35" s="19">
        <f>VLOOKUP(tbl_McReport[[#This Row],[Over Due By]],tbl_penalty_rate[],2)</f>
        <v>25.9</v>
      </c>
      <c r="Q35" s="42" t="str">
        <f>IF(AND(tbl_McReport[[#This Row],[Over Due By]]&gt;0,tbl_McReport[[#This Row],[Amount]]&gt;=500),"Action","")</f>
        <v/>
      </c>
    </row>
    <row r="36" spans="1:17" x14ac:dyDescent="0.25">
      <c r="A36" s="17" t="s">
        <v>283</v>
      </c>
      <c r="B36" s="17" t="s">
        <v>340</v>
      </c>
      <c r="C36" s="17">
        <v>545715</v>
      </c>
      <c r="D36" s="18">
        <v>43899</v>
      </c>
      <c r="E36" s="18">
        <f t="shared" si="0"/>
        <v>43907</v>
      </c>
      <c r="F36" s="18" t="str">
        <f t="shared" si="1"/>
        <v>Tuesday</v>
      </c>
      <c r="G36" s="18">
        <v>43932</v>
      </c>
      <c r="H36" s="17">
        <v>234637</v>
      </c>
      <c r="I36" s="17" t="s">
        <v>250</v>
      </c>
      <c r="J36" s="17" t="s">
        <v>251</v>
      </c>
      <c r="K36" s="19">
        <v>238.59</v>
      </c>
      <c r="L36" s="20" t="str">
        <f t="shared" si="2"/>
        <v>Mar</v>
      </c>
      <c r="M36" s="20">
        <f t="shared" si="3"/>
        <v>9</v>
      </c>
      <c r="N36" s="20" t="str">
        <f>IF(tbl_McReport[[#This Row],[Payment Date]]&gt;tbl_McReport[[#This Row],[Due Date]],"Yes","")</f>
        <v>Yes</v>
      </c>
      <c r="O36" s="20">
        <f>IF(tbl_McReport[[#This Row],[Over Due]]="",0,NETWORKDAYS(tbl_McReport[[#This Row],[Due Date]],tbl_McReport[[#This Row],[Payment Date]],Holidays))</f>
        <v>18</v>
      </c>
      <c r="P36" s="19">
        <f>VLOOKUP(tbl_McReport[[#This Row],[Over Due By]],tbl_penalty_rate[],2)</f>
        <v>25.9</v>
      </c>
      <c r="Q36" s="42" t="str">
        <f>IF(AND(tbl_McReport[[#This Row],[Over Due By]]&gt;0,tbl_McReport[[#This Row],[Amount]]&gt;=500),"Action","")</f>
        <v/>
      </c>
    </row>
    <row r="37" spans="1:17" x14ac:dyDescent="0.25">
      <c r="A37" s="17" t="s">
        <v>284</v>
      </c>
      <c r="B37" s="17" t="s">
        <v>340</v>
      </c>
      <c r="C37" s="17">
        <v>545716</v>
      </c>
      <c r="D37" s="18">
        <v>43891</v>
      </c>
      <c r="E37" s="18">
        <f t="shared" ref="E37:E68" si="4">WORKDAY.INTL(D37,6,"0000011")</f>
        <v>43899</v>
      </c>
      <c r="F37" s="18" t="str">
        <f t="shared" ref="F37:F68" si="5">TEXT(E37,"dddd")</f>
        <v>Monday</v>
      </c>
      <c r="G37" s="18">
        <v>43932</v>
      </c>
      <c r="H37" s="17">
        <v>332725</v>
      </c>
      <c r="I37" s="17" t="s">
        <v>252</v>
      </c>
      <c r="J37" s="17" t="s">
        <v>253</v>
      </c>
      <c r="K37" s="19">
        <v>549.12</v>
      </c>
      <c r="L37" s="20" t="str">
        <f t="shared" ref="L37:L68" si="6">TEXT(D37,"mmm")</f>
        <v>Mar</v>
      </c>
      <c r="M37" s="20">
        <f t="shared" ref="M37:M68" si="7">DAY(D37)</f>
        <v>1</v>
      </c>
      <c r="N37" s="20" t="str">
        <f>IF(tbl_McReport[[#This Row],[Payment Date]]&gt;tbl_McReport[[#This Row],[Due Date]],"Yes","")</f>
        <v>Yes</v>
      </c>
      <c r="O37" s="20">
        <f>IF(tbl_McReport[[#This Row],[Over Due]]="",0,NETWORKDAYS(tbl_McReport[[#This Row],[Due Date]],tbl_McReport[[#This Row],[Payment Date]],Holidays))</f>
        <v>24</v>
      </c>
      <c r="P37" s="19">
        <f>VLOOKUP(tbl_McReport[[#This Row],[Over Due By]],tbl_penalty_rate[],2)</f>
        <v>25.9</v>
      </c>
      <c r="Q37" s="42" t="str">
        <f>IF(AND(tbl_McReport[[#This Row],[Over Due By]]&gt;0,tbl_McReport[[#This Row],[Amount]]&gt;=500),"Action","")</f>
        <v>Action</v>
      </c>
    </row>
    <row r="38" spans="1:17" x14ac:dyDescent="0.25">
      <c r="A38" s="17" t="s">
        <v>285</v>
      </c>
      <c r="B38" s="17" t="s">
        <v>340</v>
      </c>
      <c r="C38" s="17">
        <v>545718</v>
      </c>
      <c r="D38" s="18">
        <v>43911</v>
      </c>
      <c r="E38" s="18">
        <f t="shared" si="4"/>
        <v>43920</v>
      </c>
      <c r="F38" s="18" t="str">
        <f t="shared" si="5"/>
        <v>Monday</v>
      </c>
      <c r="G38" s="18">
        <v>43933</v>
      </c>
      <c r="H38" s="17">
        <v>227351</v>
      </c>
      <c r="I38" s="17" t="s">
        <v>250</v>
      </c>
      <c r="J38" s="17" t="s">
        <v>251</v>
      </c>
      <c r="K38" s="19">
        <v>322.41000000000003</v>
      </c>
      <c r="L38" s="20" t="str">
        <f t="shared" si="6"/>
        <v>Mar</v>
      </c>
      <c r="M38" s="20">
        <f t="shared" si="7"/>
        <v>21</v>
      </c>
      <c r="N38" s="20" t="str">
        <f>IF(tbl_McReport[[#This Row],[Payment Date]]&gt;tbl_McReport[[#This Row],[Due Date]],"Yes","")</f>
        <v>Yes</v>
      </c>
      <c r="O38" s="20">
        <f>IF(tbl_McReport[[#This Row],[Over Due]]="",0,NETWORKDAYS(tbl_McReport[[#This Row],[Due Date]],tbl_McReport[[#This Row],[Payment Date]],Holidays))</f>
        <v>9</v>
      </c>
      <c r="P38" s="19">
        <f>VLOOKUP(tbl_McReport[[#This Row],[Over Due By]],tbl_penalty_rate[],2)</f>
        <v>5.5</v>
      </c>
      <c r="Q38" s="42" t="str">
        <f>IF(AND(tbl_McReport[[#This Row],[Over Due By]]&gt;0,tbl_McReport[[#This Row],[Amount]]&gt;=500),"Action","")</f>
        <v/>
      </c>
    </row>
    <row r="39" spans="1:17" x14ac:dyDescent="0.25">
      <c r="A39" s="17" t="s">
        <v>286</v>
      </c>
      <c r="B39" s="17" t="s">
        <v>340</v>
      </c>
      <c r="C39" s="17">
        <v>545719</v>
      </c>
      <c r="D39" s="18">
        <v>43917</v>
      </c>
      <c r="E39" s="18">
        <f t="shared" si="4"/>
        <v>43927</v>
      </c>
      <c r="F39" s="18" t="str">
        <f t="shared" si="5"/>
        <v>Monday</v>
      </c>
      <c r="G39" s="18">
        <v>43933</v>
      </c>
      <c r="H39" s="17">
        <v>336345</v>
      </c>
      <c r="I39" s="17" t="s">
        <v>252</v>
      </c>
      <c r="J39" s="17" t="s">
        <v>253</v>
      </c>
      <c r="K39" s="19">
        <v>644.82000000000005</v>
      </c>
      <c r="L39" s="20" t="str">
        <f t="shared" si="6"/>
        <v>Mar</v>
      </c>
      <c r="M39" s="20">
        <f t="shared" si="7"/>
        <v>27</v>
      </c>
      <c r="N39" s="20" t="str">
        <f>IF(tbl_McReport[[#This Row],[Payment Date]]&gt;tbl_McReport[[#This Row],[Due Date]],"Yes","")</f>
        <v>Yes</v>
      </c>
      <c r="O39" s="20">
        <f>IF(tbl_McReport[[#This Row],[Over Due]]="",0,NETWORKDAYS(tbl_McReport[[#This Row],[Due Date]],tbl_McReport[[#This Row],[Payment Date]],Holidays))</f>
        <v>4</v>
      </c>
      <c r="P39" s="19">
        <f>VLOOKUP(tbl_McReport[[#This Row],[Over Due By]],tbl_penalty_rate[],2)</f>
        <v>2.25</v>
      </c>
      <c r="Q39" s="42" t="str">
        <f>IF(AND(tbl_McReport[[#This Row],[Over Due By]]&gt;0,tbl_McReport[[#This Row],[Amount]]&gt;=500),"Action","")</f>
        <v>Action</v>
      </c>
    </row>
    <row r="40" spans="1:17" x14ac:dyDescent="0.25">
      <c r="A40" s="17" t="s">
        <v>287</v>
      </c>
      <c r="B40" s="17" t="s">
        <v>340</v>
      </c>
      <c r="C40" s="17">
        <v>545721</v>
      </c>
      <c r="D40" s="18">
        <v>43914</v>
      </c>
      <c r="E40" s="18">
        <f t="shared" si="4"/>
        <v>43922</v>
      </c>
      <c r="F40" s="18" t="str">
        <f t="shared" si="5"/>
        <v>Wednesday</v>
      </c>
      <c r="G40" s="18">
        <v>43933</v>
      </c>
      <c r="H40" s="17">
        <v>338595</v>
      </c>
      <c r="I40" s="17" t="s">
        <v>252</v>
      </c>
      <c r="J40" s="17" t="s">
        <v>253</v>
      </c>
      <c r="K40" s="19">
        <v>113.19</v>
      </c>
      <c r="L40" s="20" t="str">
        <f t="shared" si="6"/>
        <v>Mar</v>
      </c>
      <c r="M40" s="20">
        <f t="shared" si="7"/>
        <v>24</v>
      </c>
      <c r="N40" s="20" t="str">
        <f>IF(tbl_McReport[[#This Row],[Payment Date]]&gt;tbl_McReport[[#This Row],[Due Date]],"Yes","")</f>
        <v>Yes</v>
      </c>
      <c r="O40" s="20">
        <f>IF(tbl_McReport[[#This Row],[Over Due]]="",0,NETWORKDAYS(tbl_McReport[[#This Row],[Due Date]],tbl_McReport[[#This Row],[Payment Date]],Holidays))</f>
        <v>7</v>
      </c>
      <c r="P40" s="19">
        <f>VLOOKUP(tbl_McReport[[#This Row],[Over Due By]],tbl_penalty_rate[],2)</f>
        <v>5.5</v>
      </c>
      <c r="Q40" s="42" t="str">
        <f>IF(AND(tbl_McReport[[#This Row],[Over Due By]]&gt;0,tbl_McReport[[#This Row],[Amount]]&gt;=500),"Action","")</f>
        <v/>
      </c>
    </row>
    <row r="41" spans="1:17" x14ac:dyDescent="0.25">
      <c r="A41" s="17" t="s">
        <v>288</v>
      </c>
      <c r="B41" s="17" t="s">
        <v>340</v>
      </c>
      <c r="C41" s="17">
        <v>545722</v>
      </c>
      <c r="D41" s="18">
        <v>43919</v>
      </c>
      <c r="E41" s="18">
        <f t="shared" si="4"/>
        <v>43927</v>
      </c>
      <c r="F41" s="18" t="str">
        <f t="shared" si="5"/>
        <v>Monday</v>
      </c>
      <c r="G41" s="18">
        <v>43933</v>
      </c>
      <c r="H41" s="17">
        <v>325149</v>
      </c>
      <c r="I41" s="17" t="s">
        <v>252</v>
      </c>
      <c r="J41" s="17" t="s">
        <v>253</v>
      </c>
      <c r="K41" s="19">
        <v>449.13</v>
      </c>
      <c r="L41" s="20" t="str">
        <f t="shared" si="6"/>
        <v>Mar</v>
      </c>
      <c r="M41" s="20">
        <f t="shared" si="7"/>
        <v>29</v>
      </c>
      <c r="N41" s="20" t="str">
        <f>IF(tbl_McReport[[#This Row],[Payment Date]]&gt;tbl_McReport[[#This Row],[Due Date]],"Yes","")</f>
        <v>Yes</v>
      </c>
      <c r="O41" s="20">
        <f>IF(tbl_McReport[[#This Row],[Over Due]]="",0,NETWORKDAYS(tbl_McReport[[#This Row],[Due Date]],tbl_McReport[[#This Row],[Payment Date]],Holidays))</f>
        <v>4</v>
      </c>
      <c r="P41" s="19">
        <f>VLOOKUP(tbl_McReport[[#This Row],[Over Due By]],tbl_penalty_rate[],2)</f>
        <v>2.25</v>
      </c>
      <c r="Q41" s="42" t="str">
        <f>IF(AND(tbl_McReport[[#This Row],[Over Due By]]&gt;0,tbl_McReport[[#This Row],[Amount]]&gt;=500),"Action","")</f>
        <v/>
      </c>
    </row>
    <row r="42" spans="1:17" x14ac:dyDescent="0.25">
      <c r="A42" s="17" t="s">
        <v>289</v>
      </c>
      <c r="B42" s="17" t="s">
        <v>340</v>
      </c>
      <c r="C42" s="17">
        <v>545723</v>
      </c>
      <c r="D42" s="18">
        <v>43915</v>
      </c>
      <c r="E42" s="18">
        <f t="shared" si="4"/>
        <v>43923</v>
      </c>
      <c r="F42" s="18" t="str">
        <f t="shared" si="5"/>
        <v>Thursday</v>
      </c>
      <c r="G42" s="18">
        <v>43933</v>
      </c>
      <c r="H42" s="17">
        <v>227994</v>
      </c>
      <c r="I42" s="17" t="s">
        <v>250</v>
      </c>
      <c r="J42" s="17" t="s">
        <v>251</v>
      </c>
      <c r="K42" s="19">
        <v>819.06</v>
      </c>
      <c r="L42" s="20" t="str">
        <f t="shared" si="6"/>
        <v>Mar</v>
      </c>
      <c r="M42" s="20">
        <f t="shared" si="7"/>
        <v>25</v>
      </c>
      <c r="N42" s="20" t="str">
        <f>IF(tbl_McReport[[#This Row],[Payment Date]]&gt;tbl_McReport[[#This Row],[Due Date]],"Yes","")</f>
        <v>Yes</v>
      </c>
      <c r="O42" s="20">
        <f>IF(tbl_McReport[[#This Row],[Over Due]]="",0,NETWORKDAYS(tbl_McReport[[#This Row],[Due Date]],tbl_McReport[[#This Row],[Payment Date]],Holidays))</f>
        <v>6</v>
      </c>
      <c r="P42" s="19">
        <f>VLOOKUP(tbl_McReport[[#This Row],[Over Due By]],tbl_penalty_rate[],2)</f>
        <v>5.5</v>
      </c>
      <c r="Q42" s="42" t="str">
        <f>IF(AND(tbl_McReport[[#This Row],[Over Due By]]&gt;0,tbl_McReport[[#This Row],[Amount]]&gt;=500),"Action","")</f>
        <v>Action</v>
      </c>
    </row>
    <row r="43" spans="1:17" x14ac:dyDescent="0.25">
      <c r="A43" s="17" t="s">
        <v>290</v>
      </c>
      <c r="B43" s="17" t="s">
        <v>340</v>
      </c>
      <c r="C43" s="17">
        <v>545724</v>
      </c>
      <c r="D43" s="18">
        <v>43892</v>
      </c>
      <c r="E43" s="18">
        <f t="shared" si="4"/>
        <v>43900</v>
      </c>
      <c r="F43" s="18" t="str">
        <f t="shared" si="5"/>
        <v>Tuesday</v>
      </c>
      <c r="G43" s="18">
        <v>43934</v>
      </c>
      <c r="H43" s="17">
        <v>222399</v>
      </c>
      <c r="I43" s="17" t="s">
        <v>250</v>
      </c>
      <c r="J43" s="17" t="s">
        <v>251</v>
      </c>
      <c r="K43" s="19">
        <v>1019.04</v>
      </c>
      <c r="L43" s="20" t="str">
        <f t="shared" si="6"/>
        <v>Mar</v>
      </c>
      <c r="M43" s="20">
        <f t="shared" si="7"/>
        <v>2</v>
      </c>
      <c r="N43" s="20" t="str">
        <f>IF(tbl_McReport[[#This Row],[Payment Date]]&gt;tbl_McReport[[#This Row],[Due Date]],"Yes","")</f>
        <v>Yes</v>
      </c>
      <c r="O43" s="20">
        <f>IF(tbl_McReport[[#This Row],[Over Due]]="",0,NETWORKDAYS(tbl_McReport[[#This Row],[Due Date]],tbl_McReport[[#This Row],[Payment Date]],Holidays))</f>
        <v>24</v>
      </c>
      <c r="P43" s="19">
        <f>VLOOKUP(tbl_McReport[[#This Row],[Over Due By]],tbl_penalty_rate[],2)</f>
        <v>25.9</v>
      </c>
      <c r="Q43" s="42" t="str">
        <f>IF(AND(tbl_McReport[[#This Row],[Over Due By]]&gt;0,tbl_McReport[[#This Row],[Amount]]&gt;=500),"Action","")</f>
        <v>Action</v>
      </c>
    </row>
    <row r="44" spans="1:17" x14ac:dyDescent="0.25">
      <c r="A44" s="17" t="s">
        <v>291</v>
      </c>
      <c r="B44" s="17" t="s">
        <v>340</v>
      </c>
      <c r="C44" s="17">
        <v>545725</v>
      </c>
      <c r="D44" s="18">
        <v>43917</v>
      </c>
      <c r="E44" s="18">
        <f t="shared" si="4"/>
        <v>43927</v>
      </c>
      <c r="F44" s="18" t="str">
        <f t="shared" si="5"/>
        <v>Monday</v>
      </c>
      <c r="G44" s="18">
        <v>43935</v>
      </c>
      <c r="H44" s="17">
        <v>316436</v>
      </c>
      <c r="I44" s="17" t="s">
        <v>252</v>
      </c>
      <c r="J44" s="17" t="s">
        <v>253</v>
      </c>
      <c r="K44" s="19">
        <v>736.23</v>
      </c>
      <c r="L44" s="20" t="str">
        <f t="shared" si="6"/>
        <v>Mar</v>
      </c>
      <c r="M44" s="20">
        <f t="shared" si="7"/>
        <v>27</v>
      </c>
      <c r="N44" s="20" t="str">
        <f>IF(tbl_McReport[[#This Row],[Payment Date]]&gt;tbl_McReport[[#This Row],[Due Date]],"Yes","")</f>
        <v>Yes</v>
      </c>
      <c r="O44" s="20">
        <f>IF(tbl_McReport[[#This Row],[Over Due]]="",0,NETWORKDAYS(tbl_McReport[[#This Row],[Due Date]],tbl_McReport[[#This Row],[Payment Date]],Holidays))</f>
        <v>6</v>
      </c>
      <c r="P44" s="19">
        <f>VLOOKUP(tbl_McReport[[#This Row],[Over Due By]],tbl_penalty_rate[],2)</f>
        <v>5.5</v>
      </c>
      <c r="Q44" s="42" t="str">
        <f>IF(AND(tbl_McReport[[#This Row],[Over Due By]]&gt;0,tbl_McReport[[#This Row],[Amount]]&gt;=500),"Action","")</f>
        <v>Action</v>
      </c>
    </row>
    <row r="45" spans="1:17" x14ac:dyDescent="0.25">
      <c r="A45" s="17" t="s">
        <v>292</v>
      </c>
      <c r="B45" s="17" t="s">
        <v>340</v>
      </c>
      <c r="C45" s="17">
        <v>545726</v>
      </c>
      <c r="D45" s="18">
        <v>43919</v>
      </c>
      <c r="E45" s="18">
        <f t="shared" si="4"/>
        <v>43927</v>
      </c>
      <c r="F45" s="18" t="str">
        <f t="shared" si="5"/>
        <v>Monday</v>
      </c>
      <c r="G45" s="18">
        <v>43935</v>
      </c>
      <c r="H45" s="17">
        <v>312603</v>
      </c>
      <c r="I45" s="17" t="s">
        <v>252</v>
      </c>
      <c r="J45" s="17" t="s">
        <v>253</v>
      </c>
      <c r="K45" s="19">
        <v>-600.27</v>
      </c>
      <c r="L45" s="20" t="str">
        <f t="shared" si="6"/>
        <v>Mar</v>
      </c>
      <c r="M45" s="20">
        <f t="shared" si="7"/>
        <v>29</v>
      </c>
      <c r="N45" s="20" t="str">
        <f>IF(tbl_McReport[[#This Row],[Payment Date]]&gt;tbl_McReport[[#This Row],[Due Date]],"Yes","")</f>
        <v>Yes</v>
      </c>
      <c r="O45" s="20">
        <f>IF(tbl_McReport[[#This Row],[Over Due]]="",0,NETWORKDAYS(tbl_McReport[[#This Row],[Due Date]],tbl_McReport[[#This Row],[Payment Date]],Holidays))</f>
        <v>6</v>
      </c>
      <c r="P45" s="19">
        <f>VLOOKUP(tbl_McReport[[#This Row],[Over Due By]],tbl_penalty_rate[],2)</f>
        <v>5.5</v>
      </c>
      <c r="Q45" s="42" t="str">
        <f>IF(AND(tbl_McReport[[#This Row],[Over Due By]]&gt;0,tbl_McReport[[#This Row],[Amount]]&gt;=500),"Action","")</f>
        <v/>
      </c>
    </row>
    <row r="46" spans="1:17" x14ac:dyDescent="0.25">
      <c r="A46" s="17" t="s">
        <v>293</v>
      </c>
      <c r="B46" s="17" t="s">
        <v>340</v>
      </c>
      <c r="C46" s="17">
        <v>545727</v>
      </c>
      <c r="D46" s="18">
        <v>43908</v>
      </c>
      <c r="E46" s="18">
        <f t="shared" si="4"/>
        <v>43916</v>
      </c>
      <c r="F46" s="18" t="str">
        <f t="shared" si="5"/>
        <v>Thursday</v>
      </c>
      <c r="G46" s="18">
        <v>43935</v>
      </c>
      <c r="H46" s="17">
        <v>339907</v>
      </c>
      <c r="I46" s="17" t="s">
        <v>252</v>
      </c>
      <c r="J46" s="17" t="s">
        <v>253</v>
      </c>
      <c r="K46" s="19">
        <v>480.81</v>
      </c>
      <c r="L46" s="20" t="str">
        <f t="shared" si="6"/>
        <v>Mar</v>
      </c>
      <c r="M46" s="20">
        <f t="shared" si="7"/>
        <v>18</v>
      </c>
      <c r="N46" s="20" t="str">
        <f>IF(tbl_McReport[[#This Row],[Payment Date]]&gt;tbl_McReport[[#This Row],[Due Date]],"Yes","")</f>
        <v>Yes</v>
      </c>
      <c r="O46" s="20">
        <f>IF(tbl_McReport[[#This Row],[Over Due]]="",0,NETWORKDAYS(tbl_McReport[[#This Row],[Due Date]],tbl_McReport[[#This Row],[Payment Date]],Holidays))</f>
        <v>13</v>
      </c>
      <c r="P46" s="19">
        <f>VLOOKUP(tbl_McReport[[#This Row],[Over Due By]],tbl_penalty_rate[],2)</f>
        <v>10.8</v>
      </c>
      <c r="Q46" s="42" t="str">
        <f>IF(AND(tbl_McReport[[#This Row],[Over Due By]]&gt;0,tbl_McReport[[#This Row],[Amount]]&gt;=500),"Action","")</f>
        <v/>
      </c>
    </row>
    <row r="47" spans="1:17" x14ac:dyDescent="0.25">
      <c r="A47" s="17" t="s">
        <v>294</v>
      </c>
      <c r="B47" s="17" t="s">
        <v>340</v>
      </c>
      <c r="C47" s="17">
        <v>545729</v>
      </c>
      <c r="D47" s="18">
        <v>43933</v>
      </c>
      <c r="E47" s="18">
        <f t="shared" si="4"/>
        <v>43941</v>
      </c>
      <c r="F47" s="18" t="str">
        <f t="shared" si="5"/>
        <v>Monday</v>
      </c>
      <c r="G47" s="18">
        <v>43935</v>
      </c>
      <c r="H47" s="17">
        <v>218463</v>
      </c>
      <c r="I47" s="17" t="s">
        <v>250</v>
      </c>
      <c r="J47" s="17" t="s">
        <v>251</v>
      </c>
      <c r="K47" s="19">
        <v>253.77</v>
      </c>
      <c r="L47" s="20" t="str">
        <f t="shared" si="6"/>
        <v>Apr</v>
      </c>
      <c r="M47" s="20">
        <f t="shared" si="7"/>
        <v>12</v>
      </c>
      <c r="N47" s="20" t="str">
        <f>IF(tbl_McReport[[#This Row],[Payment Date]]&gt;tbl_McReport[[#This Row],[Due Date]],"Yes","")</f>
        <v/>
      </c>
      <c r="O47" s="20">
        <f>IF(tbl_McReport[[#This Row],[Over Due]]="",0,NETWORKDAYS(tbl_McReport[[#This Row],[Due Date]],tbl_McReport[[#This Row],[Payment Date]],Holidays))</f>
        <v>0</v>
      </c>
      <c r="P47" s="19">
        <f>VLOOKUP(tbl_McReport[[#This Row],[Over Due By]],tbl_penalty_rate[],2)</f>
        <v>0</v>
      </c>
      <c r="Q47" s="42" t="str">
        <f>IF(AND(tbl_McReport[[#This Row],[Over Due By]]&gt;0,tbl_McReport[[#This Row],[Amount]]&gt;=500),"Action","")</f>
        <v/>
      </c>
    </row>
    <row r="48" spans="1:17" x14ac:dyDescent="0.25">
      <c r="A48" s="17" t="s">
        <v>295</v>
      </c>
      <c r="B48" s="17" t="s">
        <v>340</v>
      </c>
      <c r="C48" s="17">
        <v>545731</v>
      </c>
      <c r="D48" s="18">
        <v>43912</v>
      </c>
      <c r="E48" s="18">
        <f t="shared" si="4"/>
        <v>43920</v>
      </c>
      <c r="F48" s="18" t="str">
        <f t="shared" si="5"/>
        <v>Monday</v>
      </c>
      <c r="G48" s="18">
        <v>43937</v>
      </c>
      <c r="H48" s="17">
        <v>336345</v>
      </c>
      <c r="I48" s="17" t="s">
        <v>252</v>
      </c>
      <c r="J48" s="17" t="s">
        <v>253</v>
      </c>
      <c r="K48" s="19">
        <v>442.86</v>
      </c>
      <c r="L48" s="20" t="str">
        <f t="shared" si="6"/>
        <v>Mar</v>
      </c>
      <c r="M48" s="20">
        <f t="shared" si="7"/>
        <v>22</v>
      </c>
      <c r="N48" s="20" t="str">
        <f>IF(tbl_McReport[[#This Row],[Payment Date]]&gt;tbl_McReport[[#This Row],[Due Date]],"Yes","")</f>
        <v>Yes</v>
      </c>
      <c r="O48" s="20">
        <f>IF(tbl_McReport[[#This Row],[Over Due]]="",0,NETWORKDAYS(tbl_McReport[[#This Row],[Due Date]],tbl_McReport[[#This Row],[Payment Date]],Holidays))</f>
        <v>13</v>
      </c>
      <c r="P48" s="19">
        <f>VLOOKUP(tbl_McReport[[#This Row],[Over Due By]],tbl_penalty_rate[],2)</f>
        <v>10.8</v>
      </c>
      <c r="Q48" s="42" t="str">
        <f>IF(AND(tbl_McReport[[#This Row],[Over Due By]]&gt;0,tbl_McReport[[#This Row],[Amount]]&gt;=500),"Action","")</f>
        <v/>
      </c>
    </row>
    <row r="49" spans="1:17" x14ac:dyDescent="0.25">
      <c r="A49" s="17" t="s">
        <v>296</v>
      </c>
      <c r="B49" s="17" t="s">
        <v>340</v>
      </c>
      <c r="C49" s="17">
        <v>545732</v>
      </c>
      <c r="D49" s="18">
        <v>43895</v>
      </c>
      <c r="E49" s="18">
        <f t="shared" si="4"/>
        <v>43903</v>
      </c>
      <c r="F49" s="18" t="str">
        <f t="shared" si="5"/>
        <v>Friday</v>
      </c>
      <c r="G49" s="18">
        <v>43937</v>
      </c>
      <c r="H49" s="17">
        <v>227664</v>
      </c>
      <c r="I49" s="17" t="s">
        <v>250</v>
      </c>
      <c r="J49" s="17" t="s">
        <v>251</v>
      </c>
      <c r="K49" s="19">
        <v>630.96</v>
      </c>
      <c r="L49" s="20" t="str">
        <f t="shared" si="6"/>
        <v>Mar</v>
      </c>
      <c r="M49" s="20">
        <f t="shared" si="7"/>
        <v>5</v>
      </c>
      <c r="N49" s="20" t="str">
        <f>IF(tbl_McReport[[#This Row],[Payment Date]]&gt;tbl_McReport[[#This Row],[Due Date]],"Yes","")</f>
        <v>Yes</v>
      </c>
      <c r="O49" s="20">
        <f>IF(tbl_McReport[[#This Row],[Over Due]]="",0,NETWORKDAYS(tbl_McReport[[#This Row],[Due Date]],tbl_McReport[[#This Row],[Payment Date]],Holidays))</f>
        <v>24</v>
      </c>
      <c r="P49" s="19">
        <f>VLOOKUP(tbl_McReport[[#This Row],[Over Due By]],tbl_penalty_rate[],2)</f>
        <v>25.9</v>
      </c>
      <c r="Q49" s="42" t="str">
        <f>IF(AND(tbl_McReport[[#This Row],[Over Due By]]&gt;0,tbl_McReport[[#This Row],[Amount]]&gt;=500),"Action","")</f>
        <v>Action</v>
      </c>
    </row>
    <row r="50" spans="1:17" x14ac:dyDescent="0.25">
      <c r="A50" s="17" t="s">
        <v>297</v>
      </c>
      <c r="B50" s="17" t="s">
        <v>340</v>
      </c>
      <c r="C50" s="17">
        <v>545734</v>
      </c>
      <c r="D50" s="18">
        <v>43904</v>
      </c>
      <c r="E50" s="18">
        <f t="shared" si="4"/>
        <v>43913</v>
      </c>
      <c r="F50" s="18" t="str">
        <f t="shared" si="5"/>
        <v>Monday</v>
      </c>
      <c r="G50" s="18">
        <v>43937</v>
      </c>
      <c r="H50" s="17">
        <v>331460</v>
      </c>
      <c r="I50" s="17" t="s">
        <v>252</v>
      </c>
      <c r="J50" s="17" t="s">
        <v>253</v>
      </c>
      <c r="K50" s="19">
        <v>821.37</v>
      </c>
      <c r="L50" s="20" t="str">
        <f t="shared" si="6"/>
        <v>Mar</v>
      </c>
      <c r="M50" s="20">
        <f t="shared" si="7"/>
        <v>14</v>
      </c>
      <c r="N50" s="20" t="str">
        <f>IF(tbl_McReport[[#This Row],[Payment Date]]&gt;tbl_McReport[[#This Row],[Due Date]],"Yes","")</f>
        <v>Yes</v>
      </c>
      <c r="O50" s="20">
        <f>IF(tbl_McReport[[#This Row],[Over Due]]="",0,NETWORKDAYS(tbl_McReport[[#This Row],[Due Date]],tbl_McReport[[#This Row],[Payment Date]],Holidays))</f>
        <v>18</v>
      </c>
      <c r="P50" s="19">
        <f>VLOOKUP(tbl_McReport[[#This Row],[Over Due By]],tbl_penalty_rate[],2)</f>
        <v>25.9</v>
      </c>
      <c r="Q50" s="42" t="str">
        <f>IF(AND(tbl_McReport[[#This Row],[Over Due By]]&gt;0,tbl_McReport[[#This Row],[Amount]]&gt;=500),"Action","")</f>
        <v>Action</v>
      </c>
    </row>
    <row r="51" spans="1:17" x14ac:dyDescent="0.25">
      <c r="A51" s="17" t="s">
        <v>298</v>
      </c>
      <c r="B51" s="17" t="s">
        <v>340</v>
      </c>
      <c r="C51" s="17">
        <v>545735</v>
      </c>
      <c r="D51" s="18">
        <v>43913</v>
      </c>
      <c r="E51" s="18">
        <f t="shared" si="4"/>
        <v>43921</v>
      </c>
      <c r="F51" s="18" t="str">
        <f t="shared" si="5"/>
        <v>Tuesday</v>
      </c>
      <c r="G51" s="18">
        <v>43938</v>
      </c>
      <c r="H51" s="17">
        <v>327740</v>
      </c>
      <c r="I51" s="17" t="s">
        <v>252</v>
      </c>
      <c r="J51" s="17" t="s">
        <v>253</v>
      </c>
      <c r="K51" s="19">
        <v>950.73</v>
      </c>
      <c r="L51" s="20" t="str">
        <f t="shared" si="6"/>
        <v>Mar</v>
      </c>
      <c r="M51" s="20">
        <f t="shared" si="7"/>
        <v>23</v>
      </c>
      <c r="N51" s="20" t="str">
        <f>IF(tbl_McReport[[#This Row],[Payment Date]]&gt;tbl_McReport[[#This Row],[Due Date]],"Yes","")</f>
        <v>Yes</v>
      </c>
      <c r="O51" s="20">
        <f>IF(tbl_McReport[[#This Row],[Over Due]]="",0,NETWORKDAYS(tbl_McReport[[#This Row],[Due Date]],tbl_McReport[[#This Row],[Payment Date]],Holidays))</f>
        <v>13</v>
      </c>
      <c r="P51" s="19">
        <f>VLOOKUP(tbl_McReport[[#This Row],[Over Due By]],tbl_penalty_rate[],2)</f>
        <v>10.8</v>
      </c>
      <c r="Q51" s="42" t="str">
        <f>IF(AND(tbl_McReport[[#This Row],[Over Due By]]&gt;0,tbl_McReport[[#This Row],[Amount]]&gt;=500),"Action","")</f>
        <v>Action</v>
      </c>
    </row>
    <row r="52" spans="1:17" x14ac:dyDescent="0.25">
      <c r="A52" s="17" t="s">
        <v>299</v>
      </c>
      <c r="B52" s="17" t="s">
        <v>340</v>
      </c>
      <c r="C52" s="17">
        <v>545737</v>
      </c>
      <c r="D52" s="18">
        <v>43913</v>
      </c>
      <c r="E52" s="18">
        <f t="shared" si="4"/>
        <v>43921</v>
      </c>
      <c r="F52" s="18" t="str">
        <f t="shared" si="5"/>
        <v>Tuesday</v>
      </c>
      <c r="G52" s="18">
        <v>43939</v>
      </c>
      <c r="H52" s="17">
        <v>221183</v>
      </c>
      <c r="I52" s="17" t="s">
        <v>250</v>
      </c>
      <c r="J52" s="17" t="s">
        <v>251</v>
      </c>
      <c r="K52" s="19">
        <v>956.34</v>
      </c>
      <c r="L52" s="20" t="str">
        <f t="shared" si="6"/>
        <v>Mar</v>
      </c>
      <c r="M52" s="20">
        <f t="shared" si="7"/>
        <v>23</v>
      </c>
      <c r="N52" s="20" t="str">
        <f>IF(tbl_McReport[[#This Row],[Payment Date]]&gt;tbl_McReport[[#This Row],[Due Date]],"Yes","")</f>
        <v>Yes</v>
      </c>
      <c r="O52" s="20">
        <f>IF(tbl_McReport[[#This Row],[Over Due]]="",0,NETWORKDAYS(tbl_McReport[[#This Row],[Due Date]],tbl_McReport[[#This Row],[Payment Date]],Holidays))</f>
        <v>13</v>
      </c>
      <c r="P52" s="19">
        <f>VLOOKUP(tbl_McReport[[#This Row],[Over Due By]],tbl_penalty_rate[],2)</f>
        <v>10.8</v>
      </c>
      <c r="Q52" s="42" t="str">
        <f>IF(AND(tbl_McReport[[#This Row],[Over Due By]]&gt;0,tbl_McReport[[#This Row],[Amount]]&gt;=500),"Action","")</f>
        <v>Action</v>
      </c>
    </row>
    <row r="53" spans="1:17" x14ac:dyDescent="0.25">
      <c r="A53" s="17" t="s">
        <v>300</v>
      </c>
      <c r="B53" s="17" t="s">
        <v>340</v>
      </c>
      <c r="C53" s="17">
        <v>545739</v>
      </c>
      <c r="D53" s="18">
        <v>43918</v>
      </c>
      <c r="E53" s="18">
        <f t="shared" si="4"/>
        <v>43927</v>
      </c>
      <c r="F53" s="18" t="str">
        <f t="shared" si="5"/>
        <v>Monday</v>
      </c>
      <c r="G53" s="18">
        <v>43939</v>
      </c>
      <c r="H53" s="17">
        <v>214234</v>
      </c>
      <c r="I53" s="17" t="s">
        <v>250</v>
      </c>
      <c r="J53" s="17" t="s">
        <v>251</v>
      </c>
      <c r="K53" s="19">
        <v>1094.28</v>
      </c>
      <c r="L53" s="20" t="str">
        <f t="shared" si="6"/>
        <v>Mar</v>
      </c>
      <c r="M53" s="20">
        <f t="shared" si="7"/>
        <v>28</v>
      </c>
      <c r="N53" s="20" t="str">
        <f>IF(tbl_McReport[[#This Row],[Payment Date]]&gt;tbl_McReport[[#This Row],[Due Date]],"Yes","")</f>
        <v>Yes</v>
      </c>
      <c r="O53" s="20">
        <f>IF(tbl_McReport[[#This Row],[Over Due]]="",0,NETWORKDAYS(tbl_McReport[[#This Row],[Due Date]],tbl_McReport[[#This Row],[Payment Date]],Holidays))</f>
        <v>9</v>
      </c>
      <c r="P53" s="19">
        <f>VLOOKUP(tbl_McReport[[#This Row],[Over Due By]],tbl_penalty_rate[],2)</f>
        <v>5.5</v>
      </c>
      <c r="Q53" s="42" t="str">
        <f>IF(AND(tbl_McReport[[#This Row],[Over Due By]]&gt;0,tbl_McReport[[#This Row],[Amount]]&gt;=500),"Action","")</f>
        <v>Action</v>
      </c>
    </row>
    <row r="54" spans="1:17" x14ac:dyDescent="0.25">
      <c r="A54" s="17" t="s">
        <v>301</v>
      </c>
      <c r="B54" s="17" t="s">
        <v>340</v>
      </c>
      <c r="C54" s="17">
        <v>545740</v>
      </c>
      <c r="D54" s="18">
        <v>43933</v>
      </c>
      <c r="E54" s="18">
        <f t="shared" si="4"/>
        <v>43941</v>
      </c>
      <c r="F54" s="18" t="str">
        <f t="shared" si="5"/>
        <v>Monday</v>
      </c>
      <c r="G54" s="18">
        <v>43940</v>
      </c>
      <c r="H54" s="17">
        <v>321456</v>
      </c>
      <c r="I54" s="17" t="s">
        <v>252</v>
      </c>
      <c r="J54" s="17" t="s">
        <v>253</v>
      </c>
      <c r="K54" s="19">
        <v>628.98</v>
      </c>
      <c r="L54" s="20" t="str">
        <f t="shared" si="6"/>
        <v>Apr</v>
      </c>
      <c r="M54" s="20">
        <f t="shared" si="7"/>
        <v>12</v>
      </c>
      <c r="N54" s="20" t="str">
        <f>IF(tbl_McReport[[#This Row],[Payment Date]]&gt;tbl_McReport[[#This Row],[Due Date]],"Yes","")</f>
        <v/>
      </c>
      <c r="O54" s="20">
        <f>IF(tbl_McReport[[#This Row],[Over Due]]="",0,NETWORKDAYS(tbl_McReport[[#This Row],[Due Date]],tbl_McReport[[#This Row],[Payment Date]],Holidays))</f>
        <v>0</v>
      </c>
      <c r="P54" s="19">
        <f>VLOOKUP(tbl_McReport[[#This Row],[Over Due By]],tbl_penalty_rate[],2)</f>
        <v>0</v>
      </c>
      <c r="Q54" s="42" t="str">
        <f>IF(AND(tbl_McReport[[#This Row],[Over Due By]]&gt;0,tbl_McReport[[#This Row],[Amount]]&gt;=500),"Action","")</f>
        <v/>
      </c>
    </row>
    <row r="55" spans="1:17" x14ac:dyDescent="0.25">
      <c r="A55" s="17" t="s">
        <v>302</v>
      </c>
      <c r="B55" s="17" t="s">
        <v>340</v>
      </c>
      <c r="C55" s="17">
        <v>545742</v>
      </c>
      <c r="D55" s="18">
        <v>43898</v>
      </c>
      <c r="E55" s="18">
        <f t="shared" si="4"/>
        <v>43906</v>
      </c>
      <c r="F55" s="18" t="str">
        <f t="shared" si="5"/>
        <v>Monday</v>
      </c>
      <c r="G55" s="18">
        <v>43940</v>
      </c>
      <c r="H55" s="17">
        <v>233209</v>
      </c>
      <c r="I55" s="17" t="s">
        <v>250</v>
      </c>
      <c r="J55" s="17" t="s">
        <v>251</v>
      </c>
      <c r="K55" s="19">
        <v>1058.31</v>
      </c>
      <c r="L55" s="20" t="str">
        <f t="shared" si="6"/>
        <v>Mar</v>
      </c>
      <c r="M55" s="20">
        <f t="shared" si="7"/>
        <v>8</v>
      </c>
      <c r="N55" s="20" t="str">
        <f>IF(tbl_McReport[[#This Row],[Payment Date]]&gt;tbl_McReport[[#This Row],[Due Date]],"Yes","")</f>
        <v>Yes</v>
      </c>
      <c r="O55" s="20">
        <f>IF(tbl_McReport[[#This Row],[Over Due]]="",0,NETWORKDAYS(tbl_McReport[[#This Row],[Due Date]],tbl_McReport[[#This Row],[Payment Date]],Holidays))</f>
        <v>24</v>
      </c>
      <c r="P55" s="19">
        <f>VLOOKUP(tbl_McReport[[#This Row],[Over Due By]],tbl_penalty_rate[],2)</f>
        <v>25.9</v>
      </c>
      <c r="Q55" s="42" t="str">
        <f>IF(AND(tbl_McReport[[#This Row],[Over Due By]]&gt;0,tbl_McReport[[#This Row],[Amount]]&gt;=500),"Action","")</f>
        <v>Action</v>
      </c>
    </row>
    <row r="56" spans="1:17" x14ac:dyDescent="0.25">
      <c r="A56" s="17" t="s">
        <v>303</v>
      </c>
      <c r="B56" s="17" t="s">
        <v>340</v>
      </c>
      <c r="C56" s="17">
        <v>545743</v>
      </c>
      <c r="D56" s="18">
        <v>43922</v>
      </c>
      <c r="E56" s="18">
        <f t="shared" si="4"/>
        <v>43930</v>
      </c>
      <c r="F56" s="18" t="str">
        <f t="shared" si="5"/>
        <v>Thursday</v>
      </c>
      <c r="G56" s="18">
        <v>43941</v>
      </c>
      <c r="H56" s="17">
        <v>222998</v>
      </c>
      <c r="I56" s="17" t="s">
        <v>250</v>
      </c>
      <c r="J56" s="17" t="s">
        <v>251</v>
      </c>
      <c r="K56" s="19">
        <v>705.54</v>
      </c>
      <c r="L56" s="20" t="str">
        <f t="shared" si="6"/>
        <v>Apr</v>
      </c>
      <c r="M56" s="20">
        <f t="shared" si="7"/>
        <v>1</v>
      </c>
      <c r="N56" s="20" t="str">
        <f>IF(tbl_McReport[[#This Row],[Payment Date]]&gt;tbl_McReport[[#This Row],[Due Date]],"Yes","")</f>
        <v>Yes</v>
      </c>
      <c r="O56" s="20">
        <f>IF(tbl_McReport[[#This Row],[Over Due]]="",0,NETWORKDAYS(tbl_McReport[[#This Row],[Due Date]],tbl_McReport[[#This Row],[Payment Date]],Holidays))</f>
        <v>7</v>
      </c>
      <c r="P56" s="19">
        <f>VLOOKUP(tbl_McReport[[#This Row],[Over Due By]],tbl_penalty_rate[],2)</f>
        <v>5.5</v>
      </c>
      <c r="Q56" s="42" t="str">
        <f>IF(AND(tbl_McReport[[#This Row],[Over Due By]]&gt;0,tbl_McReport[[#This Row],[Amount]]&gt;=500),"Action","")</f>
        <v>Action</v>
      </c>
    </row>
    <row r="57" spans="1:17" x14ac:dyDescent="0.25">
      <c r="A57" s="17" t="s">
        <v>304</v>
      </c>
      <c r="B57" s="17" t="s">
        <v>340</v>
      </c>
      <c r="C57" s="17">
        <v>545745</v>
      </c>
      <c r="D57" s="18">
        <v>43915</v>
      </c>
      <c r="E57" s="18">
        <f t="shared" si="4"/>
        <v>43923</v>
      </c>
      <c r="F57" s="18" t="str">
        <f t="shared" si="5"/>
        <v>Thursday</v>
      </c>
      <c r="G57" s="18">
        <v>43941</v>
      </c>
      <c r="H57" s="17">
        <v>228246</v>
      </c>
      <c r="I57" s="17" t="s">
        <v>250</v>
      </c>
      <c r="J57" s="17" t="s">
        <v>251</v>
      </c>
      <c r="K57" s="19">
        <v>138.6</v>
      </c>
      <c r="L57" s="20" t="str">
        <f t="shared" si="6"/>
        <v>Mar</v>
      </c>
      <c r="M57" s="20">
        <f t="shared" si="7"/>
        <v>25</v>
      </c>
      <c r="N57" s="20" t="str">
        <f>IF(tbl_McReport[[#This Row],[Payment Date]]&gt;tbl_McReport[[#This Row],[Due Date]],"Yes","")</f>
        <v>Yes</v>
      </c>
      <c r="O57" s="20">
        <f>IF(tbl_McReport[[#This Row],[Over Due]]="",0,NETWORKDAYS(tbl_McReport[[#This Row],[Due Date]],tbl_McReport[[#This Row],[Payment Date]],Holidays))</f>
        <v>12</v>
      </c>
      <c r="P57" s="19">
        <f>VLOOKUP(tbl_McReport[[#This Row],[Over Due By]],tbl_penalty_rate[],2)</f>
        <v>10.8</v>
      </c>
      <c r="Q57" s="42" t="str">
        <f>IF(AND(tbl_McReport[[#This Row],[Over Due By]]&gt;0,tbl_McReport[[#This Row],[Amount]]&gt;=500),"Action","")</f>
        <v/>
      </c>
    </row>
    <row r="58" spans="1:17" x14ac:dyDescent="0.25">
      <c r="A58" s="17" t="s">
        <v>305</v>
      </c>
      <c r="B58" s="17" t="s">
        <v>340</v>
      </c>
      <c r="C58" s="17">
        <v>545747</v>
      </c>
      <c r="D58" s="18">
        <v>43936</v>
      </c>
      <c r="E58" s="18">
        <f t="shared" si="4"/>
        <v>43944</v>
      </c>
      <c r="F58" s="18" t="str">
        <f t="shared" si="5"/>
        <v>Thursday</v>
      </c>
      <c r="G58" s="18">
        <v>43941</v>
      </c>
      <c r="H58" s="17">
        <v>314876</v>
      </c>
      <c r="I58" s="17" t="s">
        <v>252</v>
      </c>
      <c r="J58" s="17" t="s">
        <v>253</v>
      </c>
      <c r="K58" s="19">
        <v>417.12</v>
      </c>
      <c r="L58" s="20" t="str">
        <f t="shared" si="6"/>
        <v>Apr</v>
      </c>
      <c r="M58" s="20">
        <f t="shared" si="7"/>
        <v>15</v>
      </c>
      <c r="N58" s="20" t="str">
        <f>IF(tbl_McReport[[#This Row],[Payment Date]]&gt;tbl_McReport[[#This Row],[Due Date]],"Yes","")</f>
        <v/>
      </c>
      <c r="O58" s="20">
        <f>IF(tbl_McReport[[#This Row],[Over Due]]="",0,NETWORKDAYS(tbl_McReport[[#This Row],[Due Date]],tbl_McReport[[#This Row],[Payment Date]],Holidays))</f>
        <v>0</v>
      </c>
      <c r="P58" s="19">
        <f>VLOOKUP(tbl_McReport[[#This Row],[Over Due By]],tbl_penalty_rate[],2)</f>
        <v>0</v>
      </c>
      <c r="Q58" s="42" t="str">
        <f>IF(AND(tbl_McReport[[#This Row],[Over Due By]]&gt;0,tbl_McReport[[#This Row],[Amount]]&gt;=500),"Action","")</f>
        <v/>
      </c>
    </row>
    <row r="59" spans="1:17" x14ac:dyDescent="0.25">
      <c r="A59" s="17" t="s">
        <v>306</v>
      </c>
      <c r="B59" s="17" t="s">
        <v>340</v>
      </c>
      <c r="C59" s="17">
        <v>545748</v>
      </c>
      <c r="D59" s="18">
        <v>43929</v>
      </c>
      <c r="E59" s="18">
        <f t="shared" si="4"/>
        <v>43937</v>
      </c>
      <c r="F59" s="18" t="str">
        <f t="shared" si="5"/>
        <v>Thursday</v>
      </c>
      <c r="G59" s="18">
        <v>43941</v>
      </c>
      <c r="H59" s="17">
        <v>223602</v>
      </c>
      <c r="I59" s="17" t="s">
        <v>250</v>
      </c>
      <c r="J59" s="17" t="s">
        <v>251</v>
      </c>
      <c r="K59" s="19">
        <v>422.73</v>
      </c>
      <c r="L59" s="20" t="str">
        <f t="shared" si="6"/>
        <v>Apr</v>
      </c>
      <c r="M59" s="20">
        <f t="shared" si="7"/>
        <v>8</v>
      </c>
      <c r="N59" s="20" t="str">
        <f>IF(tbl_McReport[[#This Row],[Payment Date]]&gt;tbl_McReport[[#This Row],[Due Date]],"Yes","")</f>
        <v>Yes</v>
      </c>
      <c r="O59" s="20">
        <f>IF(tbl_McReport[[#This Row],[Over Due]]="",0,NETWORKDAYS(tbl_McReport[[#This Row],[Due Date]],tbl_McReport[[#This Row],[Payment Date]],Holidays))</f>
        <v>3</v>
      </c>
      <c r="P59" s="19">
        <f>VLOOKUP(tbl_McReport[[#This Row],[Over Due By]],tbl_penalty_rate[],2)</f>
        <v>2.25</v>
      </c>
      <c r="Q59" s="42" t="str">
        <f>IF(AND(tbl_McReport[[#This Row],[Over Due By]]&gt;0,tbl_McReport[[#This Row],[Amount]]&gt;=500),"Action","")</f>
        <v/>
      </c>
    </row>
    <row r="60" spans="1:17" x14ac:dyDescent="0.25">
      <c r="A60" s="17" t="s">
        <v>307</v>
      </c>
      <c r="B60" s="17" t="s">
        <v>340</v>
      </c>
      <c r="C60" s="17">
        <v>545750</v>
      </c>
      <c r="D60" s="18">
        <v>43898</v>
      </c>
      <c r="E60" s="18">
        <f t="shared" si="4"/>
        <v>43906</v>
      </c>
      <c r="F60" s="18" t="str">
        <f t="shared" si="5"/>
        <v>Monday</v>
      </c>
      <c r="G60" s="18">
        <v>43941</v>
      </c>
      <c r="H60" s="17">
        <v>319833</v>
      </c>
      <c r="I60" s="17" t="s">
        <v>252</v>
      </c>
      <c r="J60" s="17" t="s">
        <v>253</v>
      </c>
      <c r="K60" s="19">
        <v>1061.94</v>
      </c>
      <c r="L60" s="20" t="str">
        <f t="shared" si="6"/>
        <v>Mar</v>
      </c>
      <c r="M60" s="20">
        <f t="shared" si="7"/>
        <v>8</v>
      </c>
      <c r="N60" s="20" t="str">
        <f>IF(tbl_McReport[[#This Row],[Payment Date]]&gt;tbl_McReport[[#This Row],[Due Date]],"Yes","")</f>
        <v>Yes</v>
      </c>
      <c r="O60" s="20">
        <f>IF(tbl_McReport[[#This Row],[Over Due]]="",0,NETWORKDAYS(tbl_McReport[[#This Row],[Due Date]],tbl_McReport[[#This Row],[Payment Date]],Holidays))</f>
        <v>25</v>
      </c>
      <c r="P60" s="19">
        <f>VLOOKUP(tbl_McReport[[#This Row],[Over Due By]],tbl_penalty_rate[],2)</f>
        <v>25.9</v>
      </c>
      <c r="Q60" s="42" t="str">
        <f>IF(AND(tbl_McReport[[#This Row],[Over Due By]]&gt;0,tbl_McReport[[#This Row],[Amount]]&gt;=500),"Action","")</f>
        <v>Action</v>
      </c>
    </row>
    <row r="61" spans="1:17" x14ac:dyDescent="0.25">
      <c r="A61" s="17" t="s">
        <v>308</v>
      </c>
      <c r="B61" s="17" t="s">
        <v>340</v>
      </c>
      <c r="C61" s="17">
        <v>545751</v>
      </c>
      <c r="D61" s="18">
        <v>43899</v>
      </c>
      <c r="E61" s="18">
        <f t="shared" si="4"/>
        <v>43907</v>
      </c>
      <c r="F61" s="18" t="str">
        <f t="shared" si="5"/>
        <v>Tuesday</v>
      </c>
      <c r="G61" s="18">
        <v>43942</v>
      </c>
      <c r="H61" s="17">
        <v>310345</v>
      </c>
      <c r="I61" s="17" t="s">
        <v>252</v>
      </c>
      <c r="J61" s="17" t="s">
        <v>253</v>
      </c>
      <c r="K61" s="19">
        <v>602.58000000000004</v>
      </c>
      <c r="L61" s="20" t="str">
        <f t="shared" si="6"/>
        <v>Mar</v>
      </c>
      <c r="M61" s="20">
        <f t="shared" si="7"/>
        <v>9</v>
      </c>
      <c r="N61" s="20" t="str">
        <f>IF(tbl_McReport[[#This Row],[Payment Date]]&gt;tbl_McReport[[#This Row],[Due Date]],"Yes","")</f>
        <v>Yes</v>
      </c>
      <c r="O61" s="20">
        <f>IF(tbl_McReport[[#This Row],[Over Due]]="",0,NETWORKDAYS(tbl_McReport[[#This Row],[Due Date]],tbl_McReport[[#This Row],[Payment Date]],Holidays))</f>
        <v>25</v>
      </c>
      <c r="P61" s="19">
        <f>VLOOKUP(tbl_McReport[[#This Row],[Over Due By]],tbl_penalty_rate[],2)</f>
        <v>25.9</v>
      </c>
      <c r="Q61" s="42" t="str">
        <f>IF(AND(tbl_McReport[[#This Row],[Over Due By]]&gt;0,tbl_McReport[[#This Row],[Amount]]&gt;=500),"Action","")</f>
        <v>Action</v>
      </c>
    </row>
    <row r="62" spans="1:17" x14ac:dyDescent="0.25">
      <c r="A62" s="17" t="s">
        <v>309</v>
      </c>
      <c r="B62" s="17" t="s">
        <v>340</v>
      </c>
      <c r="C62" s="17">
        <v>545753</v>
      </c>
      <c r="D62" s="18">
        <v>43905</v>
      </c>
      <c r="E62" s="18">
        <f t="shared" si="4"/>
        <v>43913</v>
      </c>
      <c r="F62" s="18" t="str">
        <f t="shared" si="5"/>
        <v>Monday</v>
      </c>
      <c r="G62" s="18">
        <v>43942</v>
      </c>
      <c r="H62" s="17">
        <v>317142</v>
      </c>
      <c r="I62" s="17" t="s">
        <v>252</v>
      </c>
      <c r="J62" s="17" t="s">
        <v>253</v>
      </c>
      <c r="K62" s="19">
        <v>132.66</v>
      </c>
      <c r="L62" s="20" t="str">
        <f t="shared" si="6"/>
        <v>Mar</v>
      </c>
      <c r="M62" s="20">
        <f t="shared" si="7"/>
        <v>15</v>
      </c>
      <c r="N62" s="20" t="str">
        <f>IF(tbl_McReport[[#This Row],[Payment Date]]&gt;tbl_McReport[[#This Row],[Due Date]],"Yes","")</f>
        <v>Yes</v>
      </c>
      <c r="O62" s="20">
        <f>IF(tbl_McReport[[#This Row],[Over Due]]="",0,NETWORKDAYS(tbl_McReport[[#This Row],[Due Date]],tbl_McReport[[#This Row],[Payment Date]],Holidays))</f>
        <v>21</v>
      </c>
      <c r="P62" s="19">
        <f>VLOOKUP(tbl_McReport[[#This Row],[Over Due By]],tbl_penalty_rate[],2)</f>
        <v>25.9</v>
      </c>
      <c r="Q62" s="42" t="str">
        <f>IF(AND(tbl_McReport[[#This Row],[Over Due By]]&gt;0,tbl_McReport[[#This Row],[Amount]]&gt;=500),"Action","")</f>
        <v/>
      </c>
    </row>
    <row r="63" spans="1:17" x14ac:dyDescent="0.25">
      <c r="A63" s="17" t="s">
        <v>310</v>
      </c>
      <c r="B63" s="17" t="s">
        <v>340</v>
      </c>
      <c r="C63" s="17">
        <v>545754</v>
      </c>
      <c r="D63" s="18">
        <v>43905</v>
      </c>
      <c r="E63" s="18">
        <f t="shared" si="4"/>
        <v>43913</v>
      </c>
      <c r="F63" s="18" t="str">
        <f t="shared" si="5"/>
        <v>Monday</v>
      </c>
      <c r="G63" s="18">
        <v>43943</v>
      </c>
      <c r="H63" s="17">
        <v>313747</v>
      </c>
      <c r="I63" s="17" t="s">
        <v>252</v>
      </c>
      <c r="J63" s="17" t="s">
        <v>253</v>
      </c>
      <c r="K63" s="19">
        <v>56.43</v>
      </c>
      <c r="L63" s="20" t="str">
        <f t="shared" si="6"/>
        <v>Mar</v>
      </c>
      <c r="M63" s="20">
        <f t="shared" si="7"/>
        <v>15</v>
      </c>
      <c r="N63" s="20" t="str">
        <f>IF(tbl_McReport[[#This Row],[Payment Date]]&gt;tbl_McReport[[#This Row],[Due Date]],"Yes","")</f>
        <v>Yes</v>
      </c>
      <c r="O63" s="20">
        <f>IF(tbl_McReport[[#This Row],[Over Due]]="",0,NETWORKDAYS(tbl_McReport[[#This Row],[Due Date]],tbl_McReport[[#This Row],[Payment Date]],Holidays))</f>
        <v>22</v>
      </c>
      <c r="P63" s="19">
        <f>VLOOKUP(tbl_McReport[[#This Row],[Over Due By]],tbl_penalty_rate[],2)</f>
        <v>25.9</v>
      </c>
      <c r="Q63" s="42" t="str">
        <f>IF(AND(tbl_McReport[[#This Row],[Over Due By]]&gt;0,tbl_McReport[[#This Row],[Amount]]&gt;=500),"Action","")</f>
        <v/>
      </c>
    </row>
    <row r="64" spans="1:17" x14ac:dyDescent="0.25">
      <c r="A64" s="17" t="s">
        <v>311</v>
      </c>
      <c r="B64" s="17" t="s">
        <v>340</v>
      </c>
      <c r="C64" s="17">
        <v>545756</v>
      </c>
      <c r="D64" s="18">
        <v>43934</v>
      </c>
      <c r="E64" s="18">
        <f t="shared" si="4"/>
        <v>43942</v>
      </c>
      <c r="F64" s="18" t="str">
        <f t="shared" si="5"/>
        <v>Tuesday</v>
      </c>
      <c r="G64" s="18">
        <v>43943</v>
      </c>
      <c r="H64" s="17">
        <v>234966</v>
      </c>
      <c r="I64" s="17" t="s">
        <v>250</v>
      </c>
      <c r="J64" s="17" t="s">
        <v>251</v>
      </c>
      <c r="K64" s="19">
        <v>511.83</v>
      </c>
      <c r="L64" s="20" t="str">
        <f t="shared" si="6"/>
        <v>Apr</v>
      </c>
      <c r="M64" s="20">
        <f t="shared" si="7"/>
        <v>13</v>
      </c>
      <c r="N64" s="20" t="str">
        <f>IF(tbl_McReport[[#This Row],[Payment Date]]&gt;tbl_McReport[[#This Row],[Due Date]],"Yes","")</f>
        <v>Yes</v>
      </c>
      <c r="O64" s="20">
        <f>IF(tbl_McReport[[#This Row],[Over Due]]="",0,NETWORKDAYS(tbl_McReport[[#This Row],[Due Date]],tbl_McReport[[#This Row],[Payment Date]],Holidays))</f>
        <v>2</v>
      </c>
      <c r="P64" s="19">
        <f>VLOOKUP(tbl_McReport[[#This Row],[Over Due By]],tbl_penalty_rate[],2)</f>
        <v>2.25</v>
      </c>
      <c r="Q64" s="42" t="str">
        <f>IF(AND(tbl_McReport[[#This Row],[Over Due By]]&gt;0,tbl_McReport[[#This Row],[Amount]]&gt;=500),"Action","")</f>
        <v>Action</v>
      </c>
    </row>
    <row r="65" spans="1:17" x14ac:dyDescent="0.25">
      <c r="A65" s="17" t="s">
        <v>312</v>
      </c>
      <c r="B65" s="17" t="s">
        <v>340</v>
      </c>
      <c r="C65" s="17">
        <v>545758</v>
      </c>
      <c r="D65" s="18">
        <v>43901</v>
      </c>
      <c r="E65" s="18">
        <f t="shared" si="4"/>
        <v>43909</v>
      </c>
      <c r="F65" s="18" t="str">
        <f t="shared" si="5"/>
        <v>Thursday</v>
      </c>
      <c r="G65" s="18">
        <v>43943</v>
      </c>
      <c r="H65" s="17">
        <v>215639</v>
      </c>
      <c r="I65" s="17" t="s">
        <v>250</v>
      </c>
      <c r="J65" s="17" t="s">
        <v>251</v>
      </c>
      <c r="K65" s="19">
        <v>361.02</v>
      </c>
      <c r="L65" s="20" t="str">
        <f t="shared" si="6"/>
        <v>Mar</v>
      </c>
      <c r="M65" s="20">
        <f t="shared" si="7"/>
        <v>11</v>
      </c>
      <c r="N65" s="20" t="str">
        <f>IF(tbl_McReport[[#This Row],[Payment Date]]&gt;tbl_McReport[[#This Row],[Due Date]],"Yes","")</f>
        <v>Yes</v>
      </c>
      <c r="O65" s="20">
        <f>IF(tbl_McReport[[#This Row],[Over Due]]="",0,NETWORKDAYS(tbl_McReport[[#This Row],[Due Date]],tbl_McReport[[#This Row],[Payment Date]],Holidays))</f>
        <v>24</v>
      </c>
      <c r="P65" s="19">
        <f>VLOOKUP(tbl_McReport[[#This Row],[Over Due By]],tbl_penalty_rate[],2)</f>
        <v>25.9</v>
      </c>
      <c r="Q65" s="42" t="str">
        <f>IF(AND(tbl_McReport[[#This Row],[Over Due By]]&gt;0,tbl_McReport[[#This Row],[Amount]]&gt;=500),"Action","")</f>
        <v/>
      </c>
    </row>
    <row r="66" spans="1:17" x14ac:dyDescent="0.25">
      <c r="A66" s="17" t="s">
        <v>313</v>
      </c>
      <c r="B66" s="17" t="s">
        <v>340</v>
      </c>
      <c r="C66" s="17">
        <v>545760</v>
      </c>
      <c r="D66" s="18">
        <v>43925</v>
      </c>
      <c r="E66" s="18">
        <f t="shared" si="4"/>
        <v>43934</v>
      </c>
      <c r="F66" s="18" t="str">
        <f t="shared" si="5"/>
        <v>Monday</v>
      </c>
      <c r="G66" s="18">
        <v>43944</v>
      </c>
      <c r="H66" s="17">
        <v>328536</v>
      </c>
      <c r="I66" s="17" t="s">
        <v>252</v>
      </c>
      <c r="J66" s="17" t="s">
        <v>253</v>
      </c>
      <c r="K66" s="19">
        <v>668.25</v>
      </c>
      <c r="L66" s="20" t="str">
        <f t="shared" si="6"/>
        <v>Apr</v>
      </c>
      <c r="M66" s="20">
        <f t="shared" si="7"/>
        <v>4</v>
      </c>
      <c r="N66" s="20" t="str">
        <f>IF(tbl_McReport[[#This Row],[Payment Date]]&gt;tbl_McReport[[#This Row],[Due Date]],"Yes","")</f>
        <v>Yes</v>
      </c>
      <c r="O66" s="20">
        <f>IF(tbl_McReport[[#This Row],[Over Due]]="",0,NETWORKDAYS(tbl_McReport[[#This Row],[Due Date]],tbl_McReport[[#This Row],[Payment Date]],Holidays))</f>
        <v>9</v>
      </c>
      <c r="P66" s="19">
        <f>VLOOKUP(tbl_McReport[[#This Row],[Over Due By]],tbl_penalty_rate[],2)</f>
        <v>5.5</v>
      </c>
      <c r="Q66" s="42" t="str">
        <f>IF(AND(tbl_McReport[[#This Row],[Over Due By]]&gt;0,tbl_McReport[[#This Row],[Amount]]&gt;=500),"Action","")</f>
        <v>Action</v>
      </c>
    </row>
    <row r="67" spans="1:17" x14ac:dyDescent="0.25">
      <c r="A67" s="17" t="s">
        <v>314</v>
      </c>
      <c r="B67" s="17" t="s">
        <v>340</v>
      </c>
      <c r="C67" s="17">
        <v>545762</v>
      </c>
      <c r="D67" s="18">
        <v>43923</v>
      </c>
      <c r="E67" s="18">
        <f t="shared" si="4"/>
        <v>43931</v>
      </c>
      <c r="F67" s="18" t="str">
        <f t="shared" si="5"/>
        <v>Friday</v>
      </c>
      <c r="G67" s="18">
        <v>43944</v>
      </c>
      <c r="H67" s="17">
        <v>210023</v>
      </c>
      <c r="I67" s="17" t="s">
        <v>250</v>
      </c>
      <c r="J67" s="17" t="s">
        <v>251</v>
      </c>
      <c r="K67" s="19">
        <v>126.72</v>
      </c>
      <c r="L67" s="20" t="str">
        <f t="shared" si="6"/>
        <v>Apr</v>
      </c>
      <c r="M67" s="20">
        <f t="shared" si="7"/>
        <v>2</v>
      </c>
      <c r="N67" s="20" t="str">
        <f>IF(tbl_McReport[[#This Row],[Payment Date]]&gt;tbl_McReport[[#This Row],[Due Date]],"Yes","")</f>
        <v>Yes</v>
      </c>
      <c r="O67" s="20">
        <f>IF(tbl_McReport[[#This Row],[Over Due]]="",0,NETWORKDAYS(tbl_McReport[[#This Row],[Due Date]],tbl_McReport[[#This Row],[Payment Date]],Holidays))</f>
        <v>9</v>
      </c>
      <c r="P67" s="19">
        <f>VLOOKUP(tbl_McReport[[#This Row],[Over Due By]],tbl_penalty_rate[],2)</f>
        <v>5.5</v>
      </c>
      <c r="Q67" s="42" t="str">
        <f>IF(AND(tbl_McReport[[#This Row],[Over Due By]]&gt;0,tbl_McReport[[#This Row],[Amount]]&gt;=500),"Action","")</f>
        <v/>
      </c>
    </row>
    <row r="68" spans="1:17" x14ac:dyDescent="0.25">
      <c r="A68" s="17" t="s">
        <v>315</v>
      </c>
      <c r="B68" s="17" t="s">
        <v>340</v>
      </c>
      <c r="C68" s="17">
        <v>545763</v>
      </c>
      <c r="D68" s="18">
        <v>43914</v>
      </c>
      <c r="E68" s="18">
        <f t="shared" si="4"/>
        <v>43922</v>
      </c>
      <c r="F68" s="18" t="str">
        <f t="shared" si="5"/>
        <v>Wednesday</v>
      </c>
      <c r="G68" s="18">
        <v>43944</v>
      </c>
      <c r="H68" s="17">
        <v>338938</v>
      </c>
      <c r="I68" s="17" t="s">
        <v>252</v>
      </c>
      <c r="J68" s="17" t="s">
        <v>253</v>
      </c>
      <c r="K68" s="19">
        <v>1000.23</v>
      </c>
      <c r="L68" s="20" t="str">
        <f t="shared" si="6"/>
        <v>Mar</v>
      </c>
      <c r="M68" s="20">
        <f t="shared" si="7"/>
        <v>24</v>
      </c>
      <c r="N68" s="20" t="str">
        <f>IF(tbl_McReport[[#This Row],[Payment Date]]&gt;tbl_McReport[[#This Row],[Due Date]],"Yes","")</f>
        <v>Yes</v>
      </c>
      <c r="O68" s="20">
        <f>IF(tbl_McReport[[#This Row],[Over Due]]="",0,NETWORKDAYS(tbl_McReport[[#This Row],[Due Date]],tbl_McReport[[#This Row],[Payment Date]],Holidays))</f>
        <v>16</v>
      </c>
      <c r="P68" s="19">
        <f>VLOOKUP(tbl_McReport[[#This Row],[Over Due By]],tbl_penalty_rate[],2)</f>
        <v>25.9</v>
      </c>
      <c r="Q68" s="42" t="str">
        <f>IF(AND(tbl_McReport[[#This Row],[Over Due By]]&gt;0,tbl_McReport[[#This Row],[Amount]]&gt;=500),"Action","")</f>
        <v>Action</v>
      </c>
    </row>
    <row r="69" spans="1:17" x14ac:dyDescent="0.25">
      <c r="A69" s="17" t="s">
        <v>316</v>
      </c>
      <c r="B69" s="17" t="s">
        <v>340</v>
      </c>
      <c r="C69" s="17">
        <v>545765</v>
      </c>
      <c r="D69" s="18">
        <v>43919</v>
      </c>
      <c r="E69" s="18">
        <f t="shared" ref="E69:E100" si="8">WORKDAY.INTL(D69,6,"0000011")</f>
        <v>43927</v>
      </c>
      <c r="F69" s="18" t="str">
        <f t="shared" ref="F69:F100" si="9">TEXT(E69,"dddd")</f>
        <v>Monday</v>
      </c>
      <c r="G69" s="18">
        <v>43945</v>
      </c>
      <c r="H69" s="17">
        <v>320536</v>
      </c>
      <c r="I69" s="17" t="s">
        <v>252</v>
      </c>
      <c r="J69" s="17" t="s">
        <v>253</v>
      </c>
      <c r="K69" s="19">
        <v>948.75</v>
      </c>
      <c r="L69" s="20" t="str">
        <f t="shared" ref="L69:L89" si="10">TEXT(D69,"mmm")</f>
        <v>Mar</v>
      </c>
      <c r="M69" s="20">
        <f t="shared" ref="M69:M89" si="11">DAY(D69)</f>
        <v>29</v>
      </c>
      <c r="N69" s="20" t="str">
        <f>IF(tbl_McReport[[#This Row],[Payment Date]]&gt;tbl_McReport[[#This Row],[Due Date]],"Yes","")</f>
        <v>Yes</v>
      </c>
      <c r="O69" s="20">
        <f>IF(tbl_McReport[[#This Row],[Over Due]]="",0,NETWORKDAYS(tbl_McReport[[#This Row],[Due Date]],tbl_McReport[[#This Row],[Payment Date]],Holidays))</f>
        <v>14</v>
      </c>
      <c r="P69" s="19">
        <f>VLOOKUP(tbl_McReport[[#This Row],[Over Due By]],tbl_penalty_rate[],2)</f>
        <v>10.8</v>
      </c>
      <c r="Q69" s="42" t="str">
        <f>IF(AND(tbl_McReport[[#This Row],[Over Due By]]&gt;0,tbl_McReport[[#This Row],[Amount]]&gt;=500),"Action","")</f>
        <v>Action</v>
      </c>
    </row>
    <row r="70" spans="1:17" x14ac:dyDescent="0.25">
      <c r="A70" s="17" t="s">
        <v>317</v>
      </c>
      <c r="B70" s="17" t="s">
        <v>340</v>
      </c>
      <c r="C70" s="17">
        <v>545767</v>
      </c>
      <c r="D70" s="18">
        <v>43926</v>
      </c>
      <c r="E70" s="18">
        <f t="shared" si="8"/>
        <v>43934</v>
      </c>
      <c r="F70" s="18" t="str">
        <f t="shared" si="9"/>
        <v>Monday</v>
      </c>
      <c r="G70" s="18">
        <v>43945</v>
      </c>
      <c r="H70" s="17">
        <v>322800</v>
      </c>
      <c r="I70" s="17" t="s">
        <v>252</v>
      </c>
      <c r="J70" s="17" t="s">
        <v>253</v>
      </c>
      <c r="K70" s="19">
        <v>446.49</v>
      </c>
      <c r="L70" s="20" t="str">
        <f t="shared" si="10"/>
        <v>Apr</v>
      </c>
      <c r="M70" s="20">
        <f t="shared" si="11"/>
        <v>5</v>
      </c>
      <c r="N70" s="20" t="str">
        <f>IF(tbl_McReport[[#This Row],[Payment Date]]&gt;tbl_McReport[[#This Row],[Due Date]],"Yes","")</f>
        <v>Yes</v>
      </c>
      <c r="O70" s="20">
        <f>IF(tbl_McReport[[#This Row],[Over Due]]="",0,NETWORKDAYS(tbl_McReport[[#This Row],[Due Date]],tbl_McReport[[#This Row],[Payment Date]],Holidays))</f>
        <v>10</v>
      </c>
      <c r="P70" s="19">
        <f>VLOOKUP(tbl_McReport[[#This Row],[Over Due By]],tbl_penalty_rate[],2)</f>
        <v>10.8</v>
      </c>
      <c r="Q70" s="42" t="str">
        <f>IF(AND(tbl_McReport[[#This Row],[Over Due By]]&gt;0,tbl_McReport[[#This Row],[Amount]]&gt;=500),"Action","")</f>
        <v/>
      </c>
    </row>
    <row r="71" spans="1:17" x14ac:dyDescent="0.25">
      <c r="A71" s="17" t="s">
        <v>318</v>
      </c>
      <c r="B71" s="17" t="s">
        <v>340</v>
      </c>
      <c r="C71" s="17">
        <v>545768</v>
      </c>
      <c r="D71" s="18">
        <v>43912</v>
      </c>
      <c r="E71" s="18">
        <f t="shared" si="8"/>
        <v>43920</v>
      </c>
      <c r="F71" s="18" t="str">
        <f t="shared" si="9"/>
        <v>Monday</v>
      </c>
      <c r="G71" s="18">
        <v>43948</v>
      </c>
      <c r="H71" s="17">
        <v>321358</v>
      </c>
      <c r="I71" s="17" t="s">
        <v>252</v>
      </c>
      <c r="J71" s="17" t="s">
        <v>253</v>
      </c>
      <c r="K71" s="19">
        <v>242.22</v>
      </c>
      <c r="L71" s="20" t="str">
        <f t="shared" si="10"/>
        <v>Mar</v>
      </c>
      <c r="M71" s="20">
        <f t="shared" si="11"/>
        <v>22</v>
      </c>
      <c r="N71" s="20" t="str">
        <f>IF(tbl_McReport[[#This Row],[Payment Date]]&gt;tbl_McReport[[#This Row],[Due Date]],"Yes","")</f>
        <v>Yes</v>
      </c>
      <c r="O71" s="20">
        <f>IF(tbl_McReport[[#This Row],[Over Due]]="",0,NETWORKDAYS(tbl_McReport[[#This Row],[Due Date]],tbl_McReport[[#This Row],[Payment Date]],Holidays))</f>
        <v>20</v>
      </c>
      <c r="P71" s="19">
        <f>VLOOKUP(tbl_McReport[[#This Row],[Over Due By]],tbl_penalty_rate[],2)</f>
        <v>25.9</v>
      </c>
      <c r="Q71" s="42" t="str">
        <f>IF(AND(tbl_McReport[[#This Row],[Over Due By]]&gt;0,tbl_McReport[[#This Row],[Amount]]&gt;=500),"Action","")</f>
        <v/>
      </c>
    </row>
    <row r="72" spans="1:17" x14ac:dyDescent="0.25">
      <c r="A72" s="17" t="s">
        <v>319</v>
      </c>
      <c r="B72" s="17" t="s">
        <v>340</v>
      </c>
      <c r="C72" s="17">
        <v>545769</v>
      </c>
      <c r="D72" s="18">
        <v>43908</v>
      </c>
      <c r="E72" s="18">
        <f t="shared" si="8"/>
        <v>43916</v>
      </c>
      <c r="F72" s="18" t="str">
        <f t="shared" si="9"/>
        <v>Thursday</v>
      </c>
      <c r="G72" s="18">
        <v>43948</v>
      </c>
      <c r="H72" s="17">
        <v>316190</v>
      </c>
      <c r="I72" s="17" t="s">
        <v>252</v>
      </c>
      <c r="J72" s="17" t="s">
        <v>253</v>
      </c>
      <c r="K72" s="19">
        <v>600.6</v>
      </c>
      <c r="L72" s="20" t="str">
        <f t="shared" si="10"/>
        <v>Mar</v>
      </c>
      <c r="M72" s="20">
        <f t="shared" si="11"/>
        <v>18</v>
      </c>
      <c r="N72" s="20" t="str">
        <f>IF(tbl_McReport[[#This Row],[Payment Date]]&gt;tbl_McReport[[#This Row],[Due Date]],"Yes","")</f>
        <v>Yes</v>
      </c>
      <c r="O72" s="20">
        <f>IF(tbl_McReport[[#This Row],[Over Due]]="",0,NETWORKDAYS(tbl_McReport[[#This Row],[Due Date]],tbl_McReport[[#This Row],[Payment Date]],Holidays))</f>
        <v>22</v>
      </c>
      <c r="P72" s="19">
        <f>VLOOKUP(tbl_McReport[[#This Row],[Over Due By]],tbl_penalty_rate[],2)</f>
        <v>25.9</v>
      </c>
      <c r="Q72" s="42" t="str">
        <f>IF(AND(tbl_McReport[[#This Row],[Over Due By]]&gt;0,tbl_McReport[[#This Row],[Amount]]&gt;=500),"Action","")</f>
        <v>Action</v>
      </c>
    </row>
    <row r="73" spans="1:17" x14ac:dyDescent="0.25">
      <c r="A73" s="17" t="s">
        <v>320</v>
      </c>
      <c r="B73" s="17" t="s">
        <v>340</v>
      </c>
      <c r="C73" s="17">
        <v>545770</v>
      </c>
      <c r="D73" s="18">
        <v>43935</v>
      </c>
      <c r="E73" s="18">
        <f t="shared" si="8"/>
        <v>43943</v>
      </c>
      <c r="F73" s="18" t="str">
        <f t="shared" si="9"/>
        <v>Wednesday</v>
      </c>
      <c r="G73" s="18">
        <v>43948</v>
      </c>
      <c r="H73" s="17">
        <v>327938</v>
      </c>
      <c r="I73" s="17" t="s">
        <v>252</v>
      </c>
      <c r="J73" s="17" t="s">
        <v>253</v>
      </c>
      <c r="K73" s="19">
        <v>546.80999999999995</v>
      </c>
      <c r="L73" s="20" t="str">
        <f t="shared" si="10"/>
        <v>Apr</v>
      </c>
      <c r="M73" s="20">
        <f t="shared" si="11"/>
        <v>14</v>
      </c>
      <c r="N73" s="20" t="str">
        <f>IF(tbl_McReport[[#This Row],[Payment Date]]&gt;tbl_McReport[[#This Row],[Due Date]],"Yes","")</f>
        <v>Yes</v>
      </c>
      <c r="O73" s="20">
        <f>IF(tbl_McReport[[#This Row],[Over Due]]="",0,NETWORKDAYS(tbl_McReport[[#This Row],[Due Date]],tbl_McReport[[#This Row],[Payment Date]],Holidays))</f>
        <v>4</v>
      </c>
      <c r="P73" s="19">
        <f>VLOOKUP(tbl_McReport[[#This Row],[Over Due By]],tbl_penalty_rate[],2)</f>
        <v>2.25</v>
      </c>
      <c r="Q73" s="42" t="str">
        <f>IF(AND(tbl_McReport[[#This Row],[Over Due By]]&gt;0,tbl_McReport[[#This Row],[Amount]]&gt;=500),"Action","")</f>
        <v>Action</v>
      </c>
    </row>
    <row r="74" spans="1:17" x14ac:dyDescent="0.25">
      <c r="A74" s="17" t="s">
        <v>321</v>
      </c>
      <c r="B74" s="17" t="s">
        <v>340</v>
      </c>
      <c r="C74" s="17">
        <v>545772</v>
      </c>
      <c r="D74" s="18">
        <v>43932</v>
      </c>
      <c r="E74" s="18">
        <f t="shared" si="8"/>
        <v>43941</v>
      </c>
      <c r="F74" s="18" t="str">
        <f t="shared" si="9"/>
        <v>Monday</v>
      </c>
      <c r="G74" s="18">
        <v>43948</v>
      </c>
      <c r="H74" s="17">
        <v>234487</v>
      </c>
      <c r="I74" s="17" t="s">
        <v>250</v>
      </c>
      <c r="J74" s="17" t="s">
        <v>251</v>
      </c>
      <c r="K74" s="19">
        <v>840.51</v>
      </c>
      <c r="L74" s="20" t="str">
        <f t="shared" si="10"/>
        <v>Apr</v>
      </c>
      <c r="M74" s="20">
        <f t="shared" si="11"/>
        <v>11</v>
      </c>
      <c r="N74" s="20" t="str">
        <f>IF(tbl_McReport[[#This Row],[Payment Date]]&gt;tbl_McReport[[#This Row],[Due Date]],"Yes","")</f>
        <v>Yes</v>
      </c>
      <c r="O74" s="20">
        <f>IF(tbl_McReport[[#This Row],[Over Due]]="",0,NETWORKDAYS(tbl_McReport[[#This Row],[Due Date]],tbl_McReport[[#This Row],[Payment Date]],Holidays))</f>
        <v>6</v>
      </c>
      <c r="P74" s="19">
        <f>VLOOKUP(tbl_McReport[[#This Row],[Over Due By]],tbl_penalty_rate[],2)</f>
        <v>5.5</v>
      </c>
      <c r="Q74" s="42" t="str">
        <f>IF(AND(tbl_McReport[[#This Row],[Over Due By]]&gt;0,tbl_McReport[[#This Row],[Amount]]&gt;=500),"Action","")</f>
        <v>Action</v>
      </c>
    </row>
    <row r="75" spans="1:17" x14ac:dyDescent="0.25">
      <c r="A75" s="17" t="s">
        <v>322</v>
      </c>
      <c r="B75" s="17" t="s">
        <v>340</v>
      </c>
      <c r="C75" s="17">
        <v>545773</v>
      </c>
      <c r="D75" s="18">
        <v>43930</v>
      </c>
      <c r="E75" s="18">
        <f t="shared" si="8"/>
        <v>43938</v>
      </c>
      <c r="F75" s="18" t="str">
        <f t="shared" si="9"/>
        <v>Friday</v>
      </c>
      <c r="G75" s="18">
        <v>43949</v>
      </c>
      <c r="H75" s="17">
        <v>231274</v>
      </c>
      <c r="I75" s="17" t="s">
        <v>250</v>
      </c>
      <c r="J75" s="17" t="s">
        <v>251</v>
      </c>
      <c r="K75" s="19">
        <v>603.57000000000005</v>
      </c>
      <c r="L75" s="20" t="str">
        <f t="shared" si="10"/>
        <v>Apr</v>
      </c>
      <c r="M75" s="20">
        <f t="shared" si="11"/>
        <v>9</v>
      </c>
      <c r="N75" s="20" t="str">
        <f>IF(tbl_McReport[[#This Row],[Payment Date]]&gt;tbl_McReport[[#This Row],[Due Date]],"Yes","")</f>
        <v>Yes</v>
      </c>
      <c r="O75" s="20">
        <f>IF(tbl_McReport[[#This Row],[Over Due]]="",0,NETWORKDAYS(tbl_McReport[[#This Row],[Due Date]],tbl_McReport[[#This Row],[Payment Date]],Holidays))</f>
        <v>8</v>
      </c>
      <c r="P75" s="19">
        <f>VLOOKUP(tbl_McReport[[#This Row],[Over Due By]],tbl_penalty_rate[],2)</f>
        <v>5.5</v>
      </c>
      <c r="Q75" s="42" t="str">
        <f>IF(AND(tbl_McReport[[#This Row],[Over Due By]]&gt;0,tbl_McReport[[#This Row],[Amount]]&gt;=500),"Action","")</f>
        <v>Action</v>
      </c>
    </row>
    <row r="76" spans="1:17" x14ac:dyDescent="0.25">
      <c r="A76" s="17" t="s">
        <v>323</v>
      </c>
      <c r="B76" s="17" t="s">
        <v>340</v>
      </c>
      <c r="C76" s="17">
        <v>545774</v>
      </c>
      <c r="D76" s="18">
        <v>43945</v>
      </c>
      <c r="E76" s="18">
        <f t="shared" si="8"/>
        <v>43955</v>
      </c>
      <c r="F76" s="18" t="str">
        <f t="shared" si="9"/>
        <v>Monday</v>
      </c>
      <c r="G76" s="18">
        <v>43949</v>
      </c>
      <c r="H76" s="17">
        <v>224955</v>
      </c>
      <c r="I76" s="17" t="s">
        <v>250</v>
      </c>
      <c r="J76" s="17" t="s">
        <v>251</v>
      </c>
      <c r="K76" s="19">
        <v>816.75</v>
      </c>
      <c r="L76" s="20" t="str">
        <f t="shared" si="10"/>
        <v>Apr</v>
      </c>
      <c r="M76" s="20">
        <f t="shared" si="11"/>
        <v>24</v>
      </c>
      <c r="N76" s="20" t="str">
        <f>IF(tbl_McReport[[#This Row],[Payment Date]]&gt;tbl_McReport[[#This Row],[Due Date]],"Yes","")</f>
        <v/>
      </c>
      <c r="O76" s="20">
        <f>IF(tbl_McReport[[#This Row],[Over Due]]="",0,NETWORKDAYS(tbl_McReport[[#This Row],[Due Date]],tbl_McReport[[#This Row],[Payment Date]],Holidays))</f>
        <v>0</v>
      </c>
      <c r="P76" s="19">
        <f>VLOOKUP(tbl_McReport[[#This Row],[Over Due By]],tbl_penalty_rate[],2)</f>
        <v>0</v>
      </c>
      <c r="Q76" s="42" t="str">
        <f>IF(AND(tbl_McReport[[#This Row],[Over Due By]]&gt;0,tbl_McReport[[#This Row],[Amount]]&gt;=500),"Action","")</f>
        <v/>
      </c>
    </row>
    <row r="77" spans="1:17" x14ac:dyDescent="0.25">
      <c r="A77" s="17" t="s">
        <v>324</v>
      </c>
      <c r="B77" s="17" t="s">
        <v>340</v>
      </c>
      <c r="C77" s="17">
        <v>545775</v>
      </c>
      <c r="D77" s="18">
        <v>43915</v>
      </c>
      <c r="E77" s="18">
        <f t="shared" si="8"/>
        <v>43923</v>
      </c>
      <c r="F77" s="18" t="str">
        <f t="shared" si="9"/>
        <v>Thursday</v>
      </c>
      <c r="G77" s="18">
        <v>43949</v>
      </c>
      <c r="H77" s="17">
        <v>217275</v>
      </c>
      <c r="I77" s="17" t="s">
        <v>250</v>
      </c>
      <c r="J77" s="17" t="s">
        <v>251</v>
      </c>
      <c r="K77" s="19">
        <v>1065.57</v>
      </c>
      <c r="L77" s="20" t="str">
        <f t="shared" si="10"/>
        <v>Mar</v>
      </c>
      <c r="M77" s="20">
        <f t="shared" si="11"/>
        <v>25</v>
      </c>
      <c r="N77" s="20" t="str">
        <f>IF(tbl_McReport[[#This Row],[Payment Date]]&gt;tbl_McReport[[#This Row],[Due Date]],"Yes","")</f>
        <v>Yes</v>
      </c>
      <c r="O77" s="20">
        <f>IF(tbl_McReport[[#This Row],[Over Due]]="",0,NETWORKDAYS(tbl_McReport[[#This Row],[Due Date]],tbl_McReport[[#This Row],[Payment Date]],Holidays))</f>
        <v>18</v>
      </c>
      <c r="P77" s="19">
        <f>VLOOKUP(tbl_McReport[[#This Row],[Over Due By]],tbl_penalty_rate[],2)</f>
        <v>25.9</v>
      </c>
      <c r="Q77" s="42" t="str">
        <f>IF(AND(tbl_McReport[[#This Row],[Over Due By]]&gt;0,tbl_McReport[[#This Row],[Amount]]&gt;=500),"Action","")</f>
        <v>Action</v>
      </c>
    </row>
    <row r="78" spans="1:17" x14ac:dyDescent="0.25">
      <c r="A78" s="17" t="s">
        <v>325</v>
      </c>
      <c r="B78" s="17" t="s">
        <v>340</v>
      </c>
      <c r="C78" s="17">
        <v>545776</v>
      </c>
      <c r="D78" s="18">
        <v>43941</v>
      </c>
      <c r="E78" s="18">
        <f t="shared" si="8"/>
        <v>43949</v>
      </c>
      <c r="F78" s="18" t="str">
        <f t="shared" si="9"/>
        <v>Tuesday</v>
      </c>
      <c r="G78" s="18">
        <v>43949</v>
      </c>
      <c r="H78" s="17">
        <v>226240</v>
      </c>
      <c r="I78" s="17" t="s">
        <v>250</v>
      </c>
      <c r="J78" s="17" t="s">
        <v>251</v>
      </c>
      <c r="K78" s="19">
        <v>523.38</v>
      </c>
      <c r="L78" s="20" t="str">
        <f t="shared" si="10"/>
        <v>Apr</v>
      </c>
      <c r="M78" s="20">
        <f t="shared" si="11"/>
        <v>20</v>
      </c>
      <c r="N78" s="20" t="str">
        <f>IF(tbl_McReport[[#This Row],[Payment Date]]&gt;tbl_McReport[[#This Row],[Due Date]],"Yes","")</f>
        <v/>
      </c>
      <c r="O78" s="20">
        <f>IF(tbl_McReport[[#This Row],[Over Due]]="",0,NETWORKDAYS(tbl_McReport[[#This Row],[Due Date]],tbl_McReport[[#This Row],[Payment Date]],Holidays))</f>
        <v>0</v>
      </c>
      <c r="P78" s="19">
        <f>VLOOKUP(tbl_McReport[[#This Row],[Over Due By]],tbl_penalty_rate[],2)</f>
        <v>0</v>
      </c>
      <c r="Q78" s="42" t="str">
        <f>IF(AND(tbl_McReport[[#This Row],[Over Due By]]&gt;0,tbl_McReport[[#This Row],[Amount]]&gt;=500),"Action","")</f>
        <v/>
      </c>
    </row>
    <row r="79" spans="1:17" x14ac:dyDescent="0.25">
      <c r="A79" s="17" t="s">
        <v>326</v>
      </c>
      <c r="B79" s="17" t="s">
        <v>340</v>
      </c>
      <c r="C79" s="17">
        <v>545778</v>
      </c>
      <c r="D79" s="18">
        <v>43906</v>
      </c>
      <c r="E79" s="18">
        <f t="shared" si="8"/>
        <v>43914</v>
      </c>
      <c r="F79" s="18" t="str">
        <f t="shared" si="9"/>
        <v>Tuesday</v>
      </c>
      <c r="G79" s="18">
        <v>43949</v>
      </c>
      <c r="H79" s="17">
        <v>325643</v>
      </c>
      <c r="I79" s="17" t="s">
        <v>252</v>
      </c>
      <c r="J79" s="17" t="s">
        <v>253</v>
      </c>
      <c r="K79" s="19">
        <v>650.42999999999995</v>
      </c>
      <c r="L79" s="20" t="str">
        <f t="shared" si="10"/>
        <v>Mar</v>
      </c>
      <c r="M79" s="20">
        <f t="shared" si="11"/>
        <v>16</v>
      </c>
      <c r="N79" s="20" t="str">
        <f>IF(tbl_McReport[[#This Row],[Payment Date]]&gt;tbl_McReport[[#This Row],[Due Date]],"Yes","")</f>
        <v>Yes</v>
      </c>
      <c r="O79" s="20">
        <f>IF(tbl_McReport[[#This Row],[Over Due]]="",0,NETWORKDAYS(tbl_McReport[[#This Row],[Due Date]],tbl_McReport[[#This Row],[Payment Date]],Holidays))</f>
        <v>25</v>
      </c>
      <c r="P79" s="19">
        <f>VLOOKUP(tbl_McReport[[#This Row],[Over Due By]],tbl_penalty_rate[],2)</f>
        <v>25.9</v>
      </c>
      <c r="Q79" s="42" t="str">
        <f>IF(AND(tbl_McReport[[#This Row],[Over Due By]]&gt;0,tbl_McReport[[#This Row],[Amount]]&gt;=500),"Action","")</f>
        <v>Action</v>
      </c>
    </row>
    <row r="80" spans="1:17" x14ac:dyDescent="0.25">
      <c r="A80" s="17" t="s">
        <v>327</v>
      </c>
      <c r="B80" s="17" t="s">
        <v>340</v>
      </c>
      <c r="C80" s="17">
        <v>545780</v>
      </c>
      <c r="D80" s="18">
        <v>43942</v>
      </c>
      <c r="E80" s="18">
        <f t="shared" si="8"/>
        <v>43950</v>
      </c>
      <c r="F80" s="18" t="str">
        <f t="shared" si="9"/>
        <v>Wednesday</v>
      </c>
      <c r="G80" s="18">
        <v>43950</v>
      </c>
      <c r="H80" s="17">
        <v>312800</v>
      </c>
      <c r="I80" s="17" t="s">
        <v>252</v>
      </c>
      <c r="J80" s="17" t="s">
        <v>253</v>
      </c>
      <c r="K80" s="19">
        <v>809.49</v>
      </c>
      <c r="L80" s="20" t="str">
        <f t="shared" si="10"/>
        <v>Apr</v>
      </c>
      <c r="M80" s="20">
        <f t="shared" si="11"/>
        <v>21</v>
      </c>
      <c r="N80" s="20" t="str">
        <f>IF(tbl_McReport[[#This Row],[Payment Date]]&gt;tbl_McReport[[#This Row],[Due Date]],"Yes","")</f>
        <v/>
      </c>
      <c r="O80" s="20">
        <f>IF(tbl_McReport[[#This Row],[Over Due]]="",0,NETWORKDAYS(tbl_McReport[[#This Row],[Due Date]],tbl_McReport[[#This Row],[Payment Date]],Holidays))</f>
        <v>0</v>
      </c>
      <c r="P80" s="19">
        <f>VLOOKUP(tbl_McReport[[#This Row],[Over Due By]],tbl_penalty_rate[],2)</f>
        <v>0</v>
      </c>
      <c r="Q80" s="42" t="str">
        <f>IF(AND(tbl_McReport[[#This Row],[Over Due By]]&gt;0,tbl_McReport[[#This Row],[Amount]]&gt;=500),"Action","")</f>
        <v/>
      </c>
    </row>
    <row r="81" spans="1:17" x14ac:dyDescent="0.25">
      <c r="A81" s="17" t="s">
        <v>328</v>
      </c>
      <c r="B81" s="17" t="s">
        <v>340</v>
      </c>
      <c r="C81" s="17">
        <v>545781</v>
      </c>
      <c r="D81" s="18">
        <v>43930</v>
      </c>
      <c r="E81" s="18">
        <f t="shared" si="8"/>
        <v>43938</v>
      </c>
      <c r="F81" s="18" t="str">
        <f t="shared" si="9"/>
        <v>Friday</v>
      </c>
      <c r="G81" s="18">
        <v>43951</v>
      </c>
      <c r="H81" s="17">
        <v>338807</v>
      </c>
      <c r="I81" s="17" t="s">
        <v>252</v>
      </c>
      <c r="J81" s="17" t="s">
        <v>253</v>
      </c>
      <c r="K81" s="19">
        <v>424.38</v>
      </c>
      <c r="L81" s="20" t="str">
        <f t="shared" si="10"/>
        <v>Apr</v>
      </c>
      <c r="M81" s="20">
        <f t="shared" si="11"/>
        <v>9</v>
      </c>
      <c r="N81" s="20" t="str">
        <f>IF(tbl_McReport[[#This Row],[Payment Date]]&gt;tbl_McReport[[#This Row],[Due Date]],"Yes","")</f>
        <v>Yes</v>
      </c>
      <c r="O81" s="20">
        <f>IF(tbl_McReport[[#This Row],[Over Due]]="",0,NETWORKDAYS(tbl_McReport[[#This Row],[Due Date]],tbl_McReport[[#This Row],[Payment Date]],Holidays))</f>
        <v>10</v>
      </c>
      <c r="P81" s="19">
        <f>VLOOKUP(tbl_McReport[[#This Row],[Over Due By]],tbl_penalty_rate[],2)</f>
        <v>10.8</v>
      </c>
      <c r="Q81" s="42" t="str">
        <f>IF(AND(tbl_McReport[[#This Row],[Over Due By]]&gt;0,tbl_McReport[[#This Row],[Amount]]&gt;=500),"Action","")</f>
        <v/>
      </c>
    </row>
    <row r="82" spans="1:17" x14ac:dyDescent="0.25">
      <c r="A82" s="17" t="s">
        <v>329</v>
      </c>
      <c r="B82" s="17" t="s">
        <v>340</v>
      </c>
      <c r="C82" s="17">
        <v>545783</v>
      </c>
      <c r="D82" s="18">
        <v>43913</v>
      </c>
      <c r="E82" s="18">
        <f t="shared" si="8"/>
        <v>43921</v>
      </c>
      <c r="F82" s="18" t="str">
        <f t="shared" si="9"/>
        <v>Tuesday</v>
      </c>
      <c r="G82" s="18">
        <v>43951</v>
      </c>
      <c r="H82" s="17">
        <v>239476</v>
      </c>
      <c r="I82" s="17" t="s">
        <v>250</v>
      </c>
      <c r="J82" s="17" t="s">
        <v>251</v>
      </c>
      <c r="K82" s="19">
        <v>955.68</v>
      </c>
      <c r="L82" s="20" t="str">
        <f t="shared" si="10"/>
        <v>Mar</v>
      </c>
      <c r="M82" s="20">
        <f t="shared" si="11"/>
        <v>23</v>
      </c>
      <c r="N82" s="20" t="str">
        <f>IF(tbl_McReport[[#This Row],[Payment Date]]&gt;tbl_McReport[[#This Row],[Due Date]],"Yes","")</f>
        <v>Yes</v>
      </c>
      <c r="O82" s="20">
        <f>IF(tbl_McReport[[#This Row],[Over Due]]="",0,NETWORKDAYS(tbl_McReport[[#This Row],[Due Date]],tbl_McReport[[#This Row],[Payment Date]],Holidays))</f>
        <v>22</v>
      </c>
      <c r="P82" s="19">
        <f>VLOOKUP(tbl_McReport[[#This Row],[Over Due By]],tbl_penalty_rate[],2)</f>
        <v>25.9</v>
      </c>
      <c r="Q82" s="42" t="str">
        <f>IF(AND(tbl_McReport[[#This Row],[Over Due By]]&gt;0,tbl_McReport[[#This Row],[Amount]]&gt;=500),"Action","")</f>
        <v>Action</v>
      </c>
    </row>
    <row r="83" spans="1:17" x14ac:dyDescent="0.25">
      <c r="A83" s="17" t="s">
        <v>330</v>
      </c>
      <c r="B83" s="17" t="s">
        <v>340</v>
      </c>
      <c r="C83" s="17">
        <v>545784</v>
      </c>
      <c r="D83" s="18">
        <v>43909</v>
      </c>
      <c r="E83" s="18">
        <f t="shared" si="8"/>
        <v>43917</v>
      </c>
      <c r="F83" s="18" t="str">
        <f t="shared" si="9"/>
        <v>Friday</v>
      </c>
      <c r="G83" s="18">
        <v>43951</v>
      </c>
      <c r="H83" s="17">
        <v>213693</v>
      </c>
      <c r="I83" s="17" t="s">
        <v>250</v>
      </c>
      <c r="J83" s="17" t="s">
        <v>251</v>
      </c>
      <c r="K83" s="19">
        <v>764.28</v>
      </c>
      <c r="L83" s="20" t="str">
        <f t="shared" si="10"/>
        <v>Mar</v>
      </c>
      <c r="M83" s="20">
        <f t="shared" si="11"/>
        <v>19</v>
      </c>
      <c r="N83" s="20" t="str">
        <f>IF(tbl_McReport[[#This Row],[Payment Date]]&gt;tbl_McReport[[#This Row],[Due Date]],"Yes","")</f>
        <v>Yes</v>
      </c>
      <c r="O83" s="20">
        <f>IF(tbl_McReport[[#This Row],[Over Due]]="",0,NETWORKDAYS(tbl_McReport[[#This Row],[Due Date]],tbl_McReport[[#This Row],[Payment Date]],Holidays))</f>
        <v>24</v>
      </c>
      <c r="P83" s="19">
        <f>VLOOKUP(tbl_McReport[[#This Row],[Over Due By]],tbl_penalty_rate[],2)</f>
        <v>25.9</v>
      </c>
      <c r="Q83" s="42" t="str">
        <f>IF(AND(tbl_McReport[[#This Row],[Over Due By]]&gt;0,tbl_McReport[[#This Row],[Amount]]&gt;=500),"Action","")</f>
        <v>Action</v>
      </c>
    </row>
    <row r="84" spans="1:17" x14ac:dyDescent="0.25">
      <c r="A84" s="17" t="s">
        <v>331</v>
      </c>
      <c r="B84" s="17" t="s">
        <v>340</v>
      </c>
      <c r="C84" s="17">
        <v>545785</v>
      </c>
      <c r="D84" s="18">
        <v>43912</v>
      </c>
      <c r="E84" s="18">
        <f t="shared" si="8"/>
        <v>43920</v>
      </c>
      <c r="F84" s="18" t="str">
        <f t="shared" si="9"/>
        <v>Monday</v>
      </c>
      <c r="G84" s="18">
        <v>43951</v>
      </c>
      <c r="H84" s="17">
        <v>235040</v>
      </c>
      <c r="I84" s="17" t="s">
        <v>250</v>
      </c>
      <c r="J84" s="17" t="s">
        <v>251</v>
      </c>
      <c r="K84" s="19">
        <v>335.61</v>
      </c>
      <c r="L84" s="20" t="str">
        <f t="shared" si="10"/>
        <v>Mar</v>
      </c>
      <c r="M84" s="20">
        <f t="shared" si="11"/>
        <v>22</v>
      </c>
      <c r="N84" s="20" t="str">
        <f>IF(tbl_McReport[[#This Row],[Payment Date]]&gt;tbl_McReport[[#This Row],[Due Date]],"Yes","")</f>
        <v>Yes</v>
      </c>
      <c r="O84" s="20">
        <f>IF(tbl_McReport[[#This Row],[Over Due]]="",0,NETWORKDAYS(tbl_McReport[[#This Row],[Due Date]],tbl_McReport[[#This Row],[Payment Date]],Holidays))</f>
        <v>23</v>
      </c>
      <c r="P84" s="19">
        <f>VLOOKUP(tbl_McReport[[#This Row],[Over Due By]],tbl_penalty_rate[],2)</f>
        <v>25.9</v>
      </c>
      <c r="Q84" s="42" t="str">
        <f>IF(AND(tbl_McReport[[#This Row],[Over Due By]]&gt;0,tbl_McReport[[#This Row],[Amount]]&gt;=500),"Action","")</f>
        <v/>
      </c>
    </row>
    <row r="85" spans="1:17" x14ac:dyDescent="0.25">
      <c r="A85" s="25" t="s">
        <v>375</v>
      </c>
      <c r="B85" s="17" t="s">
        <v>340</v>
      </c>
      <c r="C85" s="25">
        <v>545773</v>
      </c>
      <c r="D85" s="27">
        <v>43946</v>
      </c>
      <c r="E85" s="27">
        <f t="shared" si="8"/>
        <v>43955</v>
      </c>
      <c r="F85" s="27" t="str">
        <f t="shared" si="9"/>
        <v>Monday</v>
      </c>
      <c r="G85" s="18">
        <v>43949</v>
      </c>
      <c r="H85" s="17">
        <v>224955</v>
      </c>
      <c r="I85" s="17" t="s">
        <v>250</v>
      </c>
      <c r="J85" s="25" t="s">
        <v>372</v>
      </c>
      <c r="K85" s="19">
        <v>800</v>
      </c>
      <c r="L85" s="28" t="str">
        <f t="shared" si="10"/>
        <v>Apr</v>
      </c>
      <c r="M85" s="28">
        <f t="shared" si="11"/>
        <v>25</v>
      </c>
      <c r="N85" s="28" t="str">
        <f>IF(tbl_McReport[[#This Row],[Payment Date]]&gt;tbl_McReport[[#This Row],[Due Date]],"Yes","")</f>
        <v/>
      </c>
      <c r="O85" s="28">
        <f>IF(tbl_McReport[[#This Row],[Over Due]]="",0,NETWORKDAYS(tbl_McReport[[#This Row],[Due Date]],tbl_McReport[[#This Row],[Payment Date]],Holidays))</f>
        <v>0</v>
      </c>
      <c r="P85" s="26">
        <f>VLOOKUP(tbl_McReport[[#This Row],[Over Due By]],tbl_penalty_rate[],2)</f>
        <v>0</v>
      </c>
      <c r="Q85" s="43" t="str">
        <f>IF(AND(tbl_McReport[[#This Row],[Over Due By]]&gt;0,tbl_McReport[[#This Row],[Amount]]&gt;=500),"Action","")</f>
        <v/>
      </c>
    </row>
    <row r="86" spans="1:17" x14ac:dyDescent="0.25">
      <c r="A86" s="17" t="s">
        <v>332</v>
      </c>
      <c r="B86" s="17" t="s">
        <v>340</v>
      </c>
      <c r="C86" s="17">
        <v>545786</v>
      </c>
      <c r="D86" s="18">
        <v>43929</v>
      </c>
      <c r="E86" s="18">
        <f t="shared" si="8"/>
        <v>43937</v>
      </c>
      <c r="F86" s="18" t="str">
        <f t="shared" si="9"/>
        <v>Thursday</v>
      </c>
      <c r="G86" s="18">
        <v>43951</v>
      </c>
      <c r="H86" s="17">
        <v>211771</v>
      </c>
      <c r="I86" s="17" t="s">
        <v>250</v>
      </c>
      <c r="J86" s="17" t="s">
        <v>251</v>
      </c>
      <c r="K86" s="19">
        <v>763.29</v>
      </c>
      <c r="L86" s="20" t="str">
        <f t="shared" si="10"/>
        <v>Apr</v>
      </c>
      <c r="M86" s="20">
        <f t="shared" si="11"/>
        <v>8</v>
      </c>
      <c r="N86" s="20" t="str">
        <f>IF(tbl_McReport[[#This Row],[Payment Date]]&gt;tbl_McReport[[#This Row],[Due Date]],"Yes","")</f>
        <v>Yes</v>
      </c>
      <c r="O86" s="20">
        <f>IF(tbl_McReport[[#This Row],[Over Due]]="",0,NETWORKDAYS(tbl_McReport[[#This Row],[Due Date]],tbl_McReport[[#This Row],[Payment Date]],Holidays))</f>
        <v>11</v>
      </c>
      <c r="P86" s="19">
        <f>VLOOKUP(tbl_McReport[[#This Row],[Over Due By]],tbl_penalty_rate[],2)</f>
        <v>10.8</v>
      </c>
      <c r="Q86" s="42" t="str">
        <f>IF(AND(tbl_McReport[[#This Row],[Over Due By]]&gt;0,tbl_McReport[[#This Row],[Amount]]&gt;=500),"Action","")</f>
        <v>Action</v>
      </c>
    </row>
    <row r="87" spans="1:17" x14ac:dyDescent="0.25">
      <c r="A87" s="17" t="s">
        <v>333</v>
      </c>
      <c r="B87" s="17" t="s">
        <v>340</v>
      </c>
      <c r="C87" s="17">
        <v>545788</v>
      </c>
      <c r="D87" s="18">
        <v>43927</v>
      </c>
      <c r="E87" s="18">
        <f t="shared" si="8"/>
        <v>43935</v>
      </c>
      <c r="F87" s="18" t="str">
        <f t="shared" si="9"/>
        <v>Tuesday</v>
      </c>
      <c r="G87" s="18">
        <v>43951</v>
      </c>
      <c r="H87" s="17">
        <v>326543</v>
      </c>
      <c r="I87" s="17" t="s">
        <v>252</v>
      </c>
      <c r="J87" s="17" t="s">
        <v>253</v>
      </c>
      <c r="K87" s="19">
        <v>446.16</v>
      </c>
      <c r="L87" s="20" t="str">
        <f t="shared" si="10"/>
        <v>Apr</v>
      </c>
      <c r="M87" s="20">
        <f t="shared" si="11"/>
        <v>6</v>
      </c>
      <c r="N87" s="20" t="str">
        <f>IF(tbl_McReport[[#This Row],[Payment Date]]&gt;tbl_McReport[[#This Row],[Due Date]],"Yes","")</f>
        <v>Yes</v>
      </c>
      <c r="O87" s="20">
        <f>IF(tbl_McReport[[#This Row],[Over Due]]="",0,NETWORKDAYS(tbl_McReport[[#This Row],[Due Date]],tbl_McReport[[#This Row],[Payment Date]],Holidays))</f>
        <v>13</v>
      </c>
      <c r="P87" s="19">
        <f>VLOOKUP(tbl_McReport[[#This Row],[Over Due By]],tbl_penalty_rate[],2)</f>
        <v>10.8</v>
      </c>
      <c r="Q87" s="42" t="str">
        <f>IF(AND(tbl_McReport[[#This Row],[Over Due By]]&gt;0,tbl_McReport[[#This Row],[Amount]]&gt;=500),"Action","")</f>
        <v/>
      </c>
    </row>
    <row r="88" spans="1:17" x14ac:dyDescent="0.25">
      <c r="A88" s="17" t="s">
        <v>334</v>
      </c>
      <c r="B88" s="17" t="s">
        <v>340</v>
      </c>
      <c r="C88" s="17">
        <v>545789</v>
      </c>
      <c r="D88" s="18">
        <v>43923</v>
      </c>
      <c r="E88" s="18">
        <f t="shared" si="8"/>
        <v>43931</v>
      </c>
      <c r="F88" s="18" t="str">
        <f t="shared" si="9"/>
        <v>Friday</v>
      </c>
      <c r="G88" s="18">
        <v>43951</v>
      </c>
      <c r="H88" s="17">
        <v>338553</v>
      </c>
      <c r="I88" s="17" t="s">
        <v>252</v>
      </c>
      <c r="J88" s="17" t="s">
        <v>253</v>
      </c>
      <c r="K88" s="19">
        <v>1032.24</v>
      </c>
      <c r="L88" s="20" t="str">
        <f t="shared" si="10"/>
        <v>Apr</v>
      </c>
      <c r="M88" s="20">
        <f t="shared" si="11"/>
        <v>2</v>
      </c>
      <c r="N88" s="20" t="str">
        <f>IF(tbl_McReport[[#This Row],[Payment Date]]&gt;tbl_McReport[[#This Row],[Due Date]],"Yes","")</f>
        <v>Yes</v>
      </c>
      <c r="O88" s="20">
        <f>IF(tbl_McReport[[#This Row],[Over Due]]="",0,NETWORKDAYS(tbl_McReport[[#This Row],[Due Date]],tbl_McReport[[#This Row],[Payment Date]],Holidays))</f>
        <v>14</v>
      </c>
      <c r="P88" s="19">
        <f>VLOOKUP(tbl_McReport[[#This Row],[Over Due By]],tbl_penalty_rate[],2)</f>
        <v>10.8</v>
      </c>
      <c r="Q88" s="42" t="str">
        <f>IF(AND(tbl_McReport[[#This Row],[Over Due By]]&gt;0,tbl_McReport[[#This Row],[Amount]]&gt;=500),"Action","")</f>
        <v>Action</v>
      </c>
    </row>
    <row r="89" spans="1:17" x14ac:dyDescent="0.25">
      <c r="A89" s="17" t="s">
        <v>335</v>
      </c>
      <c r="B89" s="17" t="s">
        <v>340</v>
      </c>
      <c r="C89" s="17">
        <v>545790</v>
      </c>
      <c r="D89" s="18">
        <v>43912</v>
      </c>
      <c r="E89" s="18">
        <f t="shared" si="8"/>
        <v>43920</v>
      </c>
      <c r="F89" s="18" t="str">
        <f t="shared" si="9"/>
        <v>Monday</v>
      </c>
      <c r="G89" s="18">
        <v>43951</v>
      </c>
      <c r="H89" s="17">
        <v>213342</v>
      </c>
      <c r="I89" s="17" t="s">
        <v>250</v>
      </c>
      <c r="J89" s="17" t="s">
        <v>251</v>
      </c>
      <c r="K89" s="19">
        <v>533.28</v>
      </c>
      <c r="L89" s="20" t="str">
        <f t="shared" si="10"/>
        <v>Mar</v>
      </c>
      <c r="M89" s="20">
        <f t="shared" si="11"/>
        <v>22</v>
      </c>
      <c r="N89" s="20" t="str">
        <f>IF(tbl_McReport[[#This Row],[Payment Date]]&gt;tbl_McReport[[#This Row],[Due Date]],"Yes","")</f>
        <v>Yes</v>
      </c>
      <c r="O89" s="20">
        <f>IF(tbl_McReport[[#This Row],[Over Due]]="",0,NETWORKDAYS(tbl_McReport[[#This Row],[Due Date]],tbl_McReport[[#This Row],[Payment Date]],Holidays))</f>
        <v>23</v>
      </c>
      <c r="P89" s="19">
        <f>VLOOKUP(tbl_McReport[[#This Row],[Over Due By]],tbl_penalty_rate[],2)</f>
        <v>25.9</v>
      </c>
      <c r="Q89" s="42" t="str">
        <f>IF(AND(tbl_McReport[[#This Row],[Over Due By]]&gt;0,tbl_McReport[[#This Row],[Amount]]&gt;=500),"Action","")</f>
        <v>Action</v>
      </c>
    </row>
  </sheetData>
  <sortState ref="D5:H88">
    <sortCondition ref="G5:G88"/>
  </sortState>
  <phoneticPr fontId="4" type="noConversion"/>
  <conditionalFormatting sqref="A5:Q89">
    <cfRule type="expression" dxfId="3" priority="12">
      <formula>$J5=$L$2</formula>
    </cfRule>
  </conditionalFormatting>
  <dataValidations count="1">
    <dataValidation type="list" allowBlank="1" showInputMessage="1" showErrorMessage="1" sqref="L2">
      <formula1>Region</formula1>
    </dataValidation>
  </dataValidations>
  <pageMargins left="0.7" right="0.7" top="0.75" bottom="0.75" header="0.3" footer="0.3"/>
  <pageSetup paperSize="9" orientation="portrait" r:id="rId1"/>
  <drawing r:id="rId2"/>
  <legacyDrawing r:id="rId3"/>
  <tableParts count="2">
    <tablePart r:id="rId4"/>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CB4E0"/>
  </sheetPr>
  <dimension ref="A1:D10"/>
  <sheetViews>
    <sheetView zoomScale="89" zoomScaleNormal="89" workbookViewId="0">
      <selection activeCell="C14" sqref="C14"/>
    </sheetView>
    <sheetView workbookViewId="1"/>
  </sheetViews>
  <sheetFormatPr defaultRowHeight="15" x14ac:dyDescent="0.25"/>
  <cols>
    <col min="1" max="1" width="22.42578125" customWidth="1"/>
    <col min="2" max="2" width="20.42578125" customWidth="1"/>
    <col min="3" max="4" width="19.42578125" customWidth="1"/>
  </cols>
  <sheetData>
    <row r="1" spans="1:4" ht="20.25" thickBot="1" x14ac:dyDescent="0.35">
      <c r="A1" s="9" t="s">
        <v>346</v>
      </c>
      <c r="B1" s="9"/>
      <c r="C1" s="9"/>
      <c r="D1" s="9"/>
    </row>
    <row r="2" spans="1:4" ht="15.75" thickTop="1" x14ac:dyDescent="0.25"/>
    <row r="3" spans="1:4" x14ac:dyDescent="0.25">
      <c r="A3" t="s">
        <v>348</v>
      </c>
      <c r="B3" s="1">
        <f>SUM('Supplier Invoice Statement'!Q6:Q89)</f>
        <v>45711.93</v>
      </c>
    </row>
    <row r="4" spans="1:4" x14ac:dyDescent="0.25">
      <c r="A4" t="s">
        <v>347</v>
      </c>
      <c r="B4" s="1">
        <f>SUM(Amount)</f>
        <v>46511.929999999993</v>
      </c>
    </row>
    <row r="5" spans="1:4" x14ac:dyDescent="0.25">
      <c r="A5" t="s">
        <v>349</v>
      </c>
      <c r="B5" s="1">
        <f>B3-B4</f>
        <v>-799.99999999999272</v>
      </c>
    </row>
    <row r="7" spans="1:4" x14ac:dyDescent="0.25">
      <c r="A7" s="3" t="s">
        <v>350</v>
      </c>
      <c r="B7" s="7" t="s">
        <v>351</v>
      </c>
      <c r="C7" s="7" t="s">
        <v>352</v>
      </c>
      <c r="D7" s="7" t="s">
        <v>353</v>
      </c>
    </row>
    <row r="8" spans="1:4" x14ac:dyDescent="0.25">
      <c r="A8" t="s">
        <v>251</v>
      </c>
      <c r="B8">
        <f>COUNTIFS(Location,A8)</f>
        <v>40</v>
      </c>
      <c r="C8">
        <f>SUMIFS(tbl_McReport[Late Charge],Location,A8)</f>
        <v>504.24999999999989</v>
      </c>
      <c r="D8">
        <f>SUMIFS(tbl_McReport[Amount],Location,A8)</f>
        <v>24082.739999999998</v>
      </c>
    </row>
    <row r="9" spans="1:4" x14ac:dyDescent="0.25">
      <c r="A9" t="s">
        <v>253</v>
      </c>
      <c r="B9">
        <f>COUNTIFS(Location,A9)</f>
        <v>44</v>
      </c>
      <c r="C9">
        <f>SUMIFS(tbl_McReport[Late Charge],Location,A9)</f>
        <v>693.89999999999964</v>
      </c>
      <c r="D9">
        <f>SUMIFS(tbl_McReport[Amount],Location,A9)</f>
        <v>21629.190000000006</v>
      </c>
    </row>
    <row r="10" spans="1:4" x14ac:dyDescent="0.25">
      <c r="A10" t="s">
        <v>372</v>
      </c>
      <c r="B10">
        <f>COUNTIFS(Location,A10)</f>
        <v>1</v>
      </c>
      <c r="C10">
        <f>SUMIFS(tbl_McReport[Late Charge],Location,A10)</f>
        <v>0</v>
      </c>
      <c r="D10" s="8">
        <f>SUMIFS(tbl_McReport[Amount],Location,A10)</f>
        <v>800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DDDDDD"/>
  </sheetPr>
  <dimension ref="A1:C7"/>
  <sheetViews>
    <sheetView workbookViewId="0">
      <selection activeCell="B4" sqref="B4"/>
    </sheetView>
    <sheetView workbookViewId="1"/>
  </sheetViews>
  <sheetFormatPr defaultRowHeight="15" x14ac:dyDescent="0.25"/>
  <cols>
    <col min="1" max="1" width="15" customWidth="1"/>
    <col min="2" max="2" width="13.7109375" customWidth="1"/>
    <col min="3" max="3" width="18.85546875" customWidth="1"/>
  </cols>
  <sheetData>
    <row r="1" spans="1:3" x14ac:dyDescent="0.25">
      <c r="A1" t="s">
        <v>365</v>
      </c>
    </row>
    <row r="3" spans="1:3" x14ac:dyDescent="0.25">
      <c r="A3" t="s">
        <v>366</v>
      </c>
      <c r="B3" t="s">
        <v>363</v>
      </c>
      <c r="C3" t="s">
        <v>367</v>
      </c>
    </row>
    <row r="4" spans="1:3" x14ac:dyDescent="0.25">
      <c r="A4" s="21">
        <v>43831</v>
      </c>
      <c r="B4" t="str">
        <f>TEXT(A4,"ddd")</f>
        <v>Wed</v>
      </c>
      <c r="C4" t="s">
        <v>368</v>
      </c>
    </row>
    <row r="5" spans="1:3" x14ac:dyDescent="0.25">
      <c r="A5" s="21">
        <v>43931</v>
      </c>
      <c r="B5" t="str">
        <f t="shared" ref="B5:B7" si="0">TEXT(A5,"ddd")</f>
        <v>Fri</v>
      </c>
      <c r="C5" t="s">
        <v>369</v>
      </c>
    </row>
    <row r="6" spans="1:3" x14ac:dyDescent="0.25">
      <c r="A6" s="21">
        <v>43961</v>
      </c>
      <c r="B6" t="str">
        <f t="shared" si="0"/>
        <v>Sun</v>
      </c>
      <c r="C6" t="s">
        <v>370</v>
      </c>
    </row>
    <row r="7" spans="1:3" x14ac:dyDescent="0.25">
      <c r="A7" s="21">
        <v>44190</v>
      </c>
      <c r="B7" t="str">
        <f t="shared" si="0"/>
        <v>Fri</v>
      </c>
      <c r="C7" t="s">
        <v>371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sheetPr>
  <dimension ref="A1:I85"/>
  <sheetViews>
    <sheetView workbookViewId="0"/>
    <sheetView workbookViewId="1"/>
  </sheetViews>
  <sheetFormatPr defaultRowHeight="15" x14ac:dyDescent="0.25"/>
  <cols>
    <col min="1" max="1" width="12.42578125" bestFit="1" customWidth="1"/>
    <col min="2" max="2" width="6.5703125" bestFit="1" customWidth="1"/>
    <col min="3" max="3" width="8.5703125" bestFit="1" customWidth="1"/>
    <col min="4" max="4" width="6.140625" bestFit="1" customWidth="1"/>
    <col min="5" max="5" width="12.42578125" bestFit="1" customWidth="1"/>
    <col min="6" max="6" width="21.140625" bestFit="1" customWidth="1"/>
    <col min="7" max="7" width="5" bestFit="1" customWidth="1"/>
    <col min="8" max="8" width="8" bestFit="1" customWidth="1"/>
    <col min="9" max="9" width="6.28515625" bestFit="1" customWidth="1"/>
  </cols>
  <sheetData>
    <row r="1" spans="1:9" x14ac:dyDescent="0.25">
      <c r="A1" s="24" t="s">
        <v>5</v>
      </c>
      <c r="B1" s="24" t="s">
        <v>356</v>
      </c>
      <c r="C1" s="24" t="s">
        <v>355</v>
      </c>
      <c r="D1" s="24" t="s">
        <v>358</v>
      </c>
      <c r="E1" s="24" t="s">
        <v>342</v>
      </c>
      <c r="F1" s="24" t="s">
        <v>4</v>
      </c>
      <c r="G1" s="24" t="s">
        <v>11</v>
      </c>
      <c r="H1" s="24" t="s">
        <v>6</v>
      </c>
      <c r="I1" s="24" t="s">
        <v>9</v>
      </c>
    </row>
    <row r="2" spans="1:9" x14ac:dyDescent="0.25">
      <c r="A2" s="39">
        <v>1</v>
      </c>
      <c r="B2" s="39" t="s">
        <v>66</v>
      </c>
      <c r="C2" s="39" t="s">
        <v>71</v>
      </c>
      <c r="D2" s="39" t="s">
        <v>12</v>
      </c>
      <c r="E2" s="39" t="s">
        <v>73</v>
      </c>
      <c r="F2" s="39" t="s">
        <v>74</v>
      </c>
      <c r="G2" s="39">
        <v>1641</v>
      </c>
      <c r="H2" s="39">
        <v>7654320</v>
      </c>
      <c r="I2" s="39">
        <v>72</v>
      </c>
    </row>
    <row r="3" spans="1:9" x14ac:dyDescent="0.25">
      <c r="A3" s="39">
        <v>1</v>
      </c>
      <c r="B3" s="39" t="s">
        <v>22</v>
      </c>
      <c r="C3" s="39" t="s">
        <v>35</v>
      </c>
      <c r="D3" s="39" t="s">
        <v>13</v>
      </c>
      <c r="E3" s="39" t="s">
        <v>75</v>
      </c>
      <c r="F3" s="39" t="s">
        <v>76</v>
      </c>
      <c r="G3" s="39">
        <v>2554</v>
      </c>
      <c r="H3" s="39">
        <v>4551221</v>
      </c>
      <c r="I3" s="39">
        <v>33</v>
      </c>
    </row>
    <row r="4" spans="1:9" x14ac:dyDescent="0.25">
      <c r="A4" s="39">
        <v>1</v>
      </c>
      <c r="B4" s="39" t="s">
        <v>28</v>
      </c>
      <c r="C4" s="39" t="s">
        <v>31</v>
      </c>
      <c r="D4" s="39" t="s">
        <v>12</v>
      </c>
      <c r="E4" s="39" t="s">
        <v>77</v>
      </c>
      <c r="F4" s="39" t="s">
        <v>78</v>
      </c>
      <c r="G4" s="39">
        <v>2554</v>
      </c>
      <c r="H4" s="39">
        <v>4551221</v>
      </c>
      <c r="I4" s="39">
        <v>33</v>
      </c>
    </row>
    <row r="5" spans="1:9" x14ac:dyDescent="0.25">
      <c r="A5" s="39">
        <v>1</v>
      </c>
      <c r="B5" s="39" t="s">
        <v>22</v>
      </c>
      <c r="C5" s="39" t="s">
        <v>67</v>
      </c>
      <c r="D5" s="39" t="s">
        <v>14</v>
      </c>
      <c r="E5" s="39" t="s">
        <v>79</v>
      </c>
      <c r="F5" s="39" t="s">
        <v>80</v>
      </c>
      <c r="G5" s="39">
        <v>2554</v>
      </c>
      <c r="H5" s="39">
        <v>4551221</v>
      </c>
      <c r="I5" s="39">
        <v>33</v>
      </c>
    </row>
    <row r="6" spans="1:9" x14ac:dyDescent="0.25">
      <c r="A6" s="39">
        <v>1</v>
      </c>
      <c r="B6" s="39" t="s">
        <v>30</v>
      </c>
      <c r="C6" s="39" t="s">
        <v>60</v>
      </c>
      <c r="D6" s="39" t="s">
        <v>15</v>
      </c>
      <c r="E6" s="39" t="s">
        <v>81</v>
      </c>
      <c r="F6" s="39" t="s">
        <v>82</v>
      </c>
      <c r="G6" s="39">
        <v>2554</v>
      </c>
      <c r="H6" s="39">
        <v>4551221</v>
      </c>
      <c r="I6" s="39">
        <v>33</v>
      </c>
    </row>
    <row r="7" spans="1:9" x14ac:dyDescent="0.25">
      <c r="A7" s="39">
        <v>1</v>
      </c>
      <c r="B7" s="39" t="s">
        <v>83</v>
      </c>
      <c r="C7" s="39" t="s">
        <v>49</v>
      </c>
      <c r="D7" s="39" t="s">
        <v>13</v>
      </c>
      <c r="E7" s="39" t="s">
        <v>84</v>
      </c>
      <c r="F7" s="39" t="s">
        <v>85</v>
      </c>
      <c r="G7" s="39">
        <v>2554</v>
      </c>
      <c r="H7" s="39">
        <v>4551221</v>
      </c>
      <c r="I7" s="39">
        <v>33</v>
      </c>
    </row>
    <row r="8" spans="1:9" x14ac:dyDescent="0.25">
      <c r="A8" s="39">
        <v>2</v>
      </c>
      <c r="B8" s="39" t="s">
        <v>83</v>
      </c>
      <c r="C8" s="39" t="s">
        <v>71</v>
      </c>
      <c r="D8" s="39" t="s">
        <v>16</v>
      </c>
      <c r="E8" s="39" t="s">
        <v>86</v>
      </c>
      <c r="F8" s="39" t="s">
        <v>87</v>
      </c>
      <c r="G8" s="39">
        <v>2554</v>
      </c>
      <c r="H8" s="39">
        <v>4551221</v>
      </c>
      <c r="I8" s="39">
        <v>33</v>
      </c>
    </row>
    <row r="9" spans="1:9" x14ac:dyDescent="0.25">
      <c r="A9" s="39">
        <v>1</v>
      </c>
      <c r="B9" s="39" t="s">
        <v>68</v>
      </c>
      <c r="C9" s="39" t="s">
        <v>69</v>
      </c>
      <c r="D9" s="39" t="s">
        <v>17</v>
      </c>
      <c r="E9" s="39" t="s">
        <v>59</v>
      </c>
      <c r="F9" s="39" t="s">
        <v>88</v>
      </c>
      <c r="G9" s="39">
        <v>1641</v>
      </c>
      <c r="H9" s="39">
        <v>7654320</v>
      </c>
      <c r="I9" s="39">
        <v>72</v>
      </c>
    </row>
    <row r="10" spans="1:9" x14ac:dyDescent="0.25">
      <c r="A10" s="39">
        <v>1</v>
      </c>
      <c r="B10" s="39" t="s">
        <v>89</v>
      </c>
      <c r="C10" s="39" t="s">
        <v>39</v>
      </c>
      <c r="D10" s="39" t="s">
        <v>13</v>
      </c>
      <c r="E10" s="39" t="s">
        <v>90</v>
      </c>
      <c r="F10" s="39" t="s">
        <v>91</v>
      </c>
      <c r="G10" s="39">
        <v>1641</v>
      </c>
      <c r="H10" s="39">
        <v>7654320</v>
      </c>
      <c r="I10" s="39">
        <v>72</v>
      </c>
    </row>
    <row r="11" spans="1:9" x14ac:dyDescent="0.25">
      <c r="A11" s="39">
        <v>1</v>
      </c>
      <c r="B11" s="39" t="s">
        <v>51</v>
      </c>
      <c r="C11" s="39" t="s">
        <v>92</v>
      </c>
      <c r="D11" s="39" t="s">
        <v>12</v>
      </c>
      <c r="E11" s="39" t="s">
        <v>93</v>
      </c>
      <c r="F11" s="39" t="s">
        <v>94</v>
      </c>
      <c r="G11" s="39">
        <v>1641</v>
      </c>
      <c r="H11" s="39">
        <v>7654320</v>
      </c>
      <c r="I11" s="39">
        <v>72</v>
      </c>
    </row>
    <row r="12" spans="1:9" x14ac:dyDescent="0.25">
      <c r="A12" s="39">
        <v>1</v>
      </c>
      <c r="B12" s="39" t="s">
        <v>64</v>
      </c>
      <c r="C12" s="39" t="s">
        <v>32</v>
      </c>
      <c r="D12" s="39" t="s">
        <v>13</v>
      </c>
      <c r="E12" s="39" t="s">
        <v>95</v>
      </c>
      <c r="F12" s="39" t="s">
        <v>96</v>
      </c>
      <c r="G12" s="39">
        <v>1641</v>
      </c>
      <c r="H12" s="39">
        <v>7654320</v>
      </c>
      <c r="I12" s="39">
        <v>72</v>
      </c>
    </row>
    <row r="13" spans="1:9" x14ac:dyDescent="0.25">
      <c r="A13" s="39">
        <v>1</v>
      </c>
      <c r="B13" s="39" t="s">
        <v>33</v>
      </c>
      <c r="C13" s="39" t="s">
        <v>97</v>
      </c>
      <c r="D13" s="39" t="s">
        <v>18</v>
      </c>
      <c r="E13" s="39" t="s">
        <v>98</v>
      </c>
      <c r="F13" s="39" t="s">
        <v>99</v>
      </c>
      <c r="G13" s="39">
        <v>2554</v>
      </c>
      <c r="H13" s="39">
        <v>4551221</v>
      </c>
      <c r="I13" s="39">
        <v>33</v>
      </c>
    </row>
    <row r="14" spans="1:9" x14ac:dyDescent="0.25">
      <c r="A14" s="39">
        <v>1</v>
      </c>
      <c r="B14" s="39" t="s">
        <v>42</v>
      </c>
      <c r="C14" s="39" t="s">
        <v>47</v>
      </c>
      <c r="D14" s="39" t="s">
        <v>13</v>
      </c>
      <c r="E14" s="39" t="s">
        <v>100</v>
      </c>
      <c r="F14" s="39" t="s">
        <v>101</v>
      </c>
      <c r="G14" s="39">
        <v>2554</v>
      </c>
      <c r="H14" s="39">
        <v>4551221</v>
      </c>
      <c r="I14" s="39">
        <v>33</v>
      </c>
    </row>
    <row r="15" spans="1:9" x14ac:dyDescent="0.25">
      <c r="A15" s="39">
        <v>1</v>
      </c>
      <c r="B15" s="39" t="s">
        <v>54</v>
      </c>
      <c r="C15" s="39" t="s">
        <v>49</v>
      </c>
      <c r="D15" s="39" t="s">
        <v>13</v>
      </c>
      <c r="E15" s="39" t="s">
        <v>102</v>
      </c>
      <c r="F15" s="39" t="s">
        <v>103</v>
      </c>
      <c r="G15" s="39">
        <v>2554</v>
      </c>
      <c r="H15" s="39">
        <v>4551221</v>
      </c>
      <c r="I15" s="39">
        <v>33</v>
      </c>
    </row>
    <row r="16" spans="1:9" x14ac:dyDescent="0.25">
      <c r="A16" s="39">
        <v>1</v>
      </c>
      <c r="B16" s="39" t="s">
        <v>50</v>
      </c>
      <c r="C16" s="39" t="s">
        <v>92</v>
      </c>
      <c r="D16" s="39" t="s">
        <v>13</v>
      </c>
      <c r="E16" s="39" t="s">
        <v>104</v>
      </c>
      <c r="F16" s="39" t="s">
        <v>105</v>
      </c>
      <c r="G16" s="39">
        <v>2554</v>
      </c>
      <c r="H16" s="39">
        <v>4551221</v>
      </c>
      <c r="I16" s="39">
        <v>33</v>
      </c>
    </row>
    <row r="17" spans="1:9" x14ac:dyDescent="0.25">
      <c r="A17" s="39">
        <v>1</v>
      </c>
      <c r="B17" s="39" t="s">
        <v>83</v>
      </c>
      <c r="C17" s="39" t="s">
        <v>36</v>
      </c>
      <c r="D17" s="39" t="s">
        <v>12</v>
      </c>
      <c r="E17" s="39" t="s">
        <v>106</v>
      </c>
      <c r="F17" s="39" t="s">
        <v>107</v>
      </c>
      <c r="G17" s="39">
        <v>2554</v>
      </c>
      <c r="H17" s="39">
        <v>4551221</v>
      </c>
      <c r="I17" s="39">
        <v>33</v>
      </c>
    </row>
    <row r="18" spans="1:9" x14ac:dyDescent="0.25">
      <c r="A18" s="39">
        <v>1</v>
      </c>
      <c r="B18" s="39" t="s">
        <v>34</v>
      </c>
      <c r="C18" s="39" t="s">
        <v>108</v>
      </c>
      <c r="D18" s="39" t="s">
        <v>12</v>
      </c>
      <c r="E18" s="39" t="s">
        <v>109</v>
      </c>
      <c r="F18" s="39" t="s">
        <v>110</v>
      </c>
      <c r="G18" s="39">
        <v>2554</v>
      </c>
      <c r="H18" s="39">
        <v>4551221</v>
      </c>
      <c r="I18" s="39">
        <v>33</v>
      </c>
    </row>
    <row r="19" spans="1:9" x14ac:dyDescent="0.25">
      <c r="A19" s="39">
        <v>1</v>
      </c>
      <c r="B19" s="39" t="s">
        <v>83</v>
      </c>
      <c r="C19" s="39" t="s">
        <v>39</v>
      </c>
      <c r="D19" s="39" t="s">
        <v>12</v>
      </c>
      <c r="E19" s="39" t="s">
        <v>111</v>
      </c>
      <c r="F19" s="39" t="s">
        <v>112</v>
      </c>
      <c r="G19" s="39">
        <v>1641</v>
      </c>
      <c r="H19" s="39">
        <v>7654320</v>
      </c>
      <c r="I19" s="39">
        <v>72</v>
      </c>
    </row>
    <row r="20" spans="1:9" x14ac:dyDescent="0.25">
      <c r="A20" s="39">
        <v>1</v>
      </c>
      <c r="B20" s="39" t="s">
        <v>28</v>
      </c>
      <c r="C20" s="39" t="s">
        <v>57</v>
      </c>
      <c r="D20" s="39" t="s">
        <v>13</v>
      </c>
      <c r="E20" s="39" t="s">
        <v>113</v>
      </c>
      <c r="F20" s="39" t="s">
        <v>114</v>
      </c>
      <c r="G20" s="39">
        <v>1641</v>
      </c>
      <c r="H20" s="39">
        <v>7654320</v>
      </c>
      <c r="I20" s="39">
        <v>72</v>
      </c>
    </row>
    <row r="21" spans="1:9" x14ac:dyDescent="0.25">
      <c r="A21" s="39">
        <v>1</v>
      </c>
      <c r="B21" s="39" t="s">
        <v>35</v>
      </c>
      <c r="C21" s="39" t="s">
        <v>69</v>
      </c>
      <c r="D21" s="39" t="s">
        <v>13</v>
      </c>
      <c r="E21" s="39" t="s">
        <v>115</v>
      </c>
      <c r="F21" s="39" t="s">
        <v>116</v>
      </c>
      <c r="G21" s="39">
        <v>1641</v>
      </c>
      <c r="H21" s="39">
        <v>7654320</v>
      </c>
      <c r="I21" s="39">
        <v>72</v>
      </c>
    </row>
    <row r="22" spans="1:9" x14ac:dyDescent="0.25">
      <c r="A22" s="39">
        <v>1</v>
      </c>
      <c r="B22" s="39" t="s">
        <v>83</v>
      </c>
      <c r="C22" s="39" t="s">
        <v>53</v>
      </c>
      <c r="D22" s="39" t="s">
        <v>13</v>
      </c>
      <c r="E22" s="39" t="s">
        <v>117</v>
      </c>
      <c r="F22" s="39" t="s">
        <v>118</v>
      </c>
      <c r="G22" s="39">
        <v>2554</v>
      </c>
      <c r="H22" s="39">
        <v>4551221</v>
      </c>
      <c r="I22" s="39">
        <v>33</v>
      </c>
    </row>
    <row r="23" spans="1:9" x14ac:dyDescent="0.25">
      <c r="A23" s="39">
        <v>1</v>
      </c>
      <c r="B23" s="39" t="s">
        <v>53</v>
      </c>
      <c r="C23" s="39" t="s">
        <v>119</v>
      </c>
      <c r="D23" s="39" t="s">
        <v>13</v>
      </c>
      <c r="E23" s="39" t="s">
        <v>120</v>
      </c>
      <c r="F23" s="39" t="s">
        <v>121</v>
      </c>
      <c r="G23" s="39">
        <v>1641</v>
      </c>
      <c r="H23" s="39">
        <v>7654320</v>
      </c>
      <c r="I23" s="39">
        <v>72</v>
      </c>
    </row>
    <row r="24" spans="1:9" x14ac:dyDescent="0.25">
      <c r="A24" s="39">
        <v>1</v>
      </c>
      <c r="B24" s="39" t="s">
        <v>34</v>
      </c>
      <c r="C24" s="39" t="s">
        <v>65</v>
      </c>
      <c r="D24" s="39" t="s">
        <v>13</v>
      </c>
      <c r="E24" s="39" t="s">
        <v>122</v>
      </c>
      <c r="F24" s="39" t="s">
        <v>123</v>
      </c>
      <c r="G24" s="39">
        <v>1641</v>
      </c>
      <c r="H24" s="39">
        <v>7654320</v>
      </c>
      <c r="I24" s="39">
        <v>72</v>
      </c>
    </row>
    <row r="25" spans="1:9" x14ac:dyDescent="0.25">
      <c r="A25" s="39">
        <v>2</v>
      </c>
      <c r="B25" s="39" t="s">
        <v>54</v>
      </c>
      <c r="C25" s="39" t="s">
        <v>42</v>
      </c>
      <c r="D25" s="39" t="s">
        <v>13</v>
      </c>
      <c r="E25" s="39" t="s">
        <v>124</v>
      </c>
      <c r="F25" s="39" t="s">
        <v>125</v>
      </c>
      <c r="G25" s="39">
        <v>1641</v>
      </c>
      <c r="H25" s="39">
        <v>7654320</v>
      </c>
      <c r="I25" s="39">
        <v>72</v>
      </c>
    </row>
    <row r="26" spans="1:9" x14ac:dyDescent="0.25">
      <c r="A26" s="39">
        <v>1</v>
      </c>
      <c r="B26" s="39" t="s">
        <v>42</v>
      </c>
      <c r="C26" s="39" t="s">
        <v>28</v>
      </c>
      <c r="D26" s="39" t="s">
        <v>13</v>
      </c>
      <c r="E26" s="39" t="s">
        <v>126</v>
      </c>
      <c r="F26" s="39" t="s">
        <v>127</v>
      </c>
      <c r="G26" s="39">
        <v>1641</v>
      </c>
      <c r="H26" s="39">
        <v>7654320</v>
      </c>
      <c r="I26" s="39">
        <v>72</v>
      </c>
    </row>
    <row r="27" spans="1:9" x14ac:dyDescent="0.25">
      <c r="A27" s="39">
        <v>1</v>
      </c>
      <c r="B27" s="39" t="s">
        <v>49</v>
      </c>
      <c r="C27" s="39" t="s">
        <v>46</v>
      </c>
      <c r="D27" s="39" t="s">
        <v>13</v>
      </c>
      <c r="E27" s="39" t="s">
        <v>128</v>
      </c>
      <c r="F27" s="39" t="s">
        <v>129</v>
      </c>
      <c r="G27" s="39">
        <v>1641</v>
      </c>
      <c r="H27" s="39">
        <v>7654320</v>
      </c>
      <c r="I27" s="39">
        <v>72</v>
      </c>
    </row>
    <row r="28" spans="1:9" x14ac:dyDescent="0.25">
      <c r="A28" s="39">
        <v>1</v>
      </c>
      <c r="B28" s="39" t="s">
        <v>32</v>
      </c>
      <c r="C28" s="39" t="s">
        <v>130</v>
      </c>
      <c r="D28" s="39" t="s">
        <v>13</v>
      </c>
      <c r="E28" s="39" t="s">
        <v>131</v>
      </c>
      <c r="F28" s="39" t="s">
        <v>132</v>
      </c>
      <c r="G28" s="39">
        <v>2554</v>
      </c>
      <c r="H28" s="39">
        <v>4551221</v>
      </c>
      <c r="I28" s="39">
        <v>33</v>
      </c>
    </row>
    <row r="29" spans="1:9" x14ac:dyDescent="0.25">
      <c r="A29" s="39">
        <v>1</v>
      </c>
      <c r="B29" s="39" t="s">
        <v>33</v>
      </c>
      <c r="C29" s="39" t="s">
        <v>62</v>
      </c>
      <c r="D29" s="39" t="s">
        <v>13</v>
      </c>
      <c r="E29" s="39" t="s">
        <v>133</v>
      </c>
      <c r="F29" s="39" t="s">
        <v>134</v>
      </c>
      <c r="G29" s="39">
        <v>2554</v>
      </c>
      <c r="H29" s="39">
        <v>4551221</v>
      </c>
      <c r="I29" s="39">
        <v>33</v>
      </c>
    </row>
    <row r="30" spans="1:9" x14ac:dyDescent="0.25">
      <c r="A30" s="39">
        <v>1</v>
      </c>
      <c r="B30" s="39" t="s">
        <v>30</v>
      </c>
      <c r="C30" s="39" t="s">
        <v>65</v>
      </c>
      <c r="D30" s="39" t="s">
        <v>12</v>
      </c>
      <c r="E30" s="39" t="s">
        <v>135</v>
      </c>
      <c r="F30" s="39" t="s">
        <v>136</v>
      </c>
      <c r="G30" s="39">
        <v>2554</v>
      </c>
      <c r="H30" s="39">
        <v>4551221</v>
      </c>
      <c r="I30" s="39">
        <v>33</v>
      </c>
    </row>
    <row r="31" spans="1:9" x14ac:dyDescent="0.25">
      <c r="A31" s="39">
        <v>1</v>
      </c>
      <c r="B31" s="39" t="s">
        <v>51</v>
      </c>
      <c r="C31" s="39" t="s">
        <v>92</v>
      </c>
      <c r="D31" s="39" t="s">
        <v>13</v>
      </c>
      <c r="E31" s="39" t="s">
        <v>137</v>
      </c>
      <c r="F31" s="39" t="s">
        <v>138</v>
      </c>
      <c r="G31" s="39">
        <v>1641</v>
      </c>
      <c r="H31" s="39">
        <v>7654320</v>
      </c>
      <c r="I31" s="39">
        <v>72</v>
      </c>
    </row>
    <row r="32" spans="1:9" x14ac:dyDescent="0.25">
      <c r="A32" s="39">
        <v>1</v>
      </c>
      <c r="B32" s="39" t="s">
        <v>54</v>
      </c>
      <c r="C32" s="39" t="s">
        <v>67</v>
      </c>
      <c r="D32" s="39" t="s">
        <v>13</v>
      </c>
      <c r="E32" s="39" t="s">
        <v>139</v>
      </c>
      <c r="F32" s="39" t="s">
        <v>140</v>
      </c>
      <c r="G32" s="39">
        <v>1641</v>
      </c>
      <c r="H32" s="39">
        <v>7654320</v>
      </c>
      <c r="I32" s="39">
        <v>72</v>
      </c>
    </row>
    <row r="33" spans="1:9" x14ac:dyDescent="0.25">
      <c r="A33" s="39">
        <v>1</v>
      </c>
      <c r="B33" s="39" t="s">
        <v>48</v>
      </c>
      <c r="C33" s="39" t="s">
        <v>39</v>
      </c>
      <c r="D33" s="39" t="s">
        <v>13</v>
      </c>
      <c r="E33" s="39" t="s">
        <v>141</v>
      </c>
      <c r="F33" s="39" t="s">
        <v>142</v>
      </c>
      <c r="G33" s="39">
        <v>1641</v>
      </c>
      <c r="H33" s="39">
        <v>7654320</v>
      </c>
      <c r="I33" s="39">
        <v>72</v>
      </c>
    </row>
    <row r="34" spans="1:9" x14ac:dyDescent="0.25">
      <c r="A34" s="39">
        <v>1</v>
      </c>
      <c r="B34" s="39" t="s">
        <v>22</v>
      </c>
      <c r="C34" s="39" t="s">
        <v>26</v>
      </c>
      <c r="D34" s="39" t="s">
        <v>13</v>
      </c>
      <c r="E34" s="39" t="s">
        <v>143</v>
      </c>
      <c r="F34" s="39" t="s">
        <v>144</v>
      </c>
      <c r="G34" s="39">
        <v>2554</v>
      </c>
      <c r="H34" s="39">
        <v>4551221</v>
      </c>
      <c r="I34" s="39">
        <v>33</v>
      </c>
    </row>
    <row r="35" spans="1:9" x14ac:dyDescent="0.25">
      <c r="A35" s="39">
        <v>1</v>
      </c>
      <c r="B35" s="39" t="s">
        <v>46</v>
      </c>
      <c r="C35" s="39" t="s">
        <v>25</v>
      </c>
      <c r="D35" s="39" t="s">
        <v>13</v>
      </c>
      <c r="E35" s="39" t="s">
        <v>145</v>
      </c>
      <c r="F35" s="39" t="s">
        <v>146</v>
      </c>
      <c r="G35" s="39">
        <v>1641</v>
      </c>
      <c r="H35" s="39">
        <v>7654320</v>
      </c>
      <c r="I35" s="39">
        <v>72</v>
      </c>
    </row>
    <row r="36" spans="1:9" x14ac:dyDescent="0.25">
      <c r="A36" s="39">
        <v>1</v>
      </c>
      <c r="B36" s="39" t="s">
        <v>24</v>
      </c>
      <c r="C36" s="39" t="s">
        <v>62</v>
      </c>
      <c r="D36" s="39" t="s">
        <v>13</v>
      </c>
      <c r="E36" s="39" t="s">
        <v>147</v>
      </c>
      <c r="F36" s="39" t="s">
        <v>148</v>
      </c>
      <c r="G36" s="39">
        <v>2554</v>
      </c>
      <c r="H36" s="39">
        <v>4551221</v>
      </c>
      <c r="I36" s="39">
        <v>33</v>
      </c>
    </row>
    <row r="37" spans="1:9" x14ac:dyDescent="0.25">
      <c r="A37" s="39">
        <v>1</v>
      </c>
      <c r="B37" s="39" t="s">
        <v>64</v>
      </c>
      <c r="C37" s="39" t="s">
        <v>46</v>
      </c>
      <c r="D37" s="39" t="s">
        <v>13</v>
      </c>
      <c r="E37" s="39" t="s">
        <v>149</v>
      </c>
      <c r="F37" s="39" t="s">
        <v>150</v>
      </c>
      <c r="G37" s="39">
        <v>2554</v>
      </c>
      <c r="H37" s="39">
        <v>4551221</v>
      </c>
      <c r="I37" s="39">
        <v>33</v>
      </c>
    </row>
    <row r="38" spans="1:9" x14ac:dyDescent="0.25">
      <c r="A38" s="39">
        <v>1</v>
      </c>
      <c r="B38" s="39" t="s">
        <v>54</v>
      </c>
      <c r="C38" s="39" t="s">
        <v>22</v>
      </c>
      <c r="D38" s="39" t="s">
        <v>13</v>
      </c>
      <c r="E38" s="39" t="s">
        <v>151</v>
      </c>
      <c r="F38" s="39" t="s">
        <v>152</v>
      </c>
      <c r="G38" s="39">
        <v>2554</v>
      </c>
      <c r="H38" s="39">
        <v>4551221</v>
      </c>
      <c r="I38" s="39">
        <v>33</v>
      </c>
    </row>
    <row r="39" spans="1:9" x14ac:dyDescent="0.25">
      <c r="A39" s="39">
        <v>1</v>
      </c>
      <c r="B39" s="39" t="s">
        <v>45</v>
      </c>
      <c r="C39" s="39" t="s">
        <v>130</v>
      </c>
      <c r="D39" s="39" t="s">
        <v>13</v>
      </c>
      <c r="E39" s="39" t="s">
        <v>153</v>
      </c>
      <c r="F39" s="39" t="s">
        <v>154</v>
      </c>
      <c r="G39" s="39">
        <v>1641</v>
      </c>
      <c r="H39" s="39">
        <v>7654320</v>
      </c>
      <c r="I39" s="39">
        <v>72</v>
      </c>
    </row>
    <row r="40" spans="1:9" x14ac:dyDescent="0.25">
      <c r="A40" s="39">
        <v>1</v>
      </c>
      <c r="B40" s="39" t="s">
        <v>40</v>
      </c>
      <c r="C40" s="39" t="s">
        <v>155</v>
      </c>
      <c r="D40" s="39" t="s">
        <v>13</v>
      </c>
      <c r="E40" s="39" t="s">
        <v>156</v>
      </c>
      <c r="F40" s="39" t="s">
        <v>157</v>
      </c>
      <c r="G40" s="39">
        <v>1641</v>
      </c>
      <c r="H40" s="39">
        <v>7654320</v>
      </c>
      <c r="I40" s="39">
        <v>72</v>
      </c>
    </row>
    <row r="41" spans="1:9" x14ac:dyDescent="0.25">
      <c r="A41" s="39">
        <v>1</v>
      </c>
      <c r="B41" s="39" t="s">
        <v>68</v>
      </c>
      <c r="C41" s="39" t="s">
        <v>47</v>
      </c>
      <c r="D41" s="39" t="s">
        <v>13</v>
      </c>
      <c r="E41" s="39" t="s">
        <v>158</v>
      </c>
      <c r="F41" s="39" t="s">
        <v>159</v>
      </c>
      <c r="G41" s="39">
        <v>2554</v>
      </c>
      <c r="H41" s="39">
        <v>4551221</v>
      </c>
      <c r="I41" s="39">
        <v>33</v>
      </c>
    </row>
    <row r="42" spans="1:9" x14ac:dyDescent="0.25">
      <c r="A42" s="39">
        <v>1</v>
      </c>
      <c r="B42" s="39" t="s">
        <v>48</v>
      </c>
      <c r="C42" s="39" t="s">
        <v>160</v>
      </c>
      <c r="D42" s="39" t="s">
        <v>15</v>
      </c>
      <c r="E42" s="39" t="s">
        <v>161</v>
      </c>
      <c r="F42" s="39" t="s">
        <v>162</v>
      </c>
      <c r="G42" s="39">
        <v>2554</v>
      </c>
      <c r="H42" s="39">
        <v>4551221</v>
      </c>
      <c r="I42" s="39">
        <v>33</v>
      </c>
    </row>
    <row r="43" spans="1:9" x14ac:dyDescent="0.25">
      <c r="A43" s="39">
        <v>1</v>
      </c>
      <c r="B43" s="39" t="s">
        <v>53</v>
      </c>
      <c r="C43" s="39" t="s">
        <v>60</v>
      </c>
      <c r="D43" s="39" t="s">
        <v>13</v>
      </c>
      <c r="E43" s="39" t="s">
        <v>163</v>
      </c>
      <c r="F43" s="39" t="s">
        <v>164</v>
      </c>
      <c r="G43" s="39">
        <v>2554</v>
      </c>
      <c r="H43" s="39">
        <v>4551221</v>
      </c>
      <c r="I43" s="39">
        <v>33</v>
      </c>
    </row>
    <row r="44" spans="1:9" x14ac:dyDescent="0.25">
      <c r="A44" s="39">
        <v>1</v>
      </c>
      <c r="B44" s="39" t="s">
        <v>89</v>
      </c>
      <c r="C44" s="39" t="s">
        <v>165</v>
      </c>
      <c r="D44" s="39" t="s">
        <v>13</v>
      </c>
      <c r="E44" s="39" t="s">
        <v>166</v>
      </c>
      <c r="F44" s="39" t="s">
        <v>167</v>
      </c>
      <c r="G44" s="39">
        <v>1641</v>
      </c>
      <c r="H44" s="39">
        <v>7654320</v>
      </c>
      <c r="I44" s="39">
        <v>72</v>
      </c>
    </row>
    <row r="45" spans="1:9" x14ac:dyDescent="0.25">
      <c r="A45" s="39">
        <v>1</v>
      </c>
      <c r="B45" s="39" t="s">
        <v>54</v>
      </c>
      <c r="C45" s="39" t="s">
        <v>31</v>
      </c>
      <c r="D45" s="39" t="s">
        <v>13</v>
      </c>
      <c r="E45" s="39" t="s">
        <v>168</v>
      </c>
      <c r="F45" s="39" t="s">
        <v>148</v>
      </c>
      <c r="G45" s="39">
        <v>2554</v>
      </c>
      <c r="H45" s="39">
        <v>4551221</v>
      </c>
      <c r="I45" s="39">
        <v>33</v>
      </c>
    </row>
    <row r="46" spans="1:9" x14ac:dyDescent="0.25">
      <c r="A46" s="39">
        <v>1</v>
      </c>
      <c r="B46" s="39" t="s">
        <v>40</v>
      </c>
      <c r="C46" s="39" t="s">
        <v>27</v>
      </c>
      <c r="D46" s="39" t="s">
        <v>13</v>
      </c>
      <c r="E46" s="39" t="s">
        <v>169</v>
      </c>
      <c r="F46" s="39" t="s">
        <v>170</v>
      </c>
      <c r="G46" s="39">
        <v>1641</v>
      </c>
      <c r="H46" s="39">
        <v>7654320</v>
      </c>
      <c r="I46" s="39">
        <v>72</v>
      </c>
    </row>
    <row r="47" spans="1:9" x14ac:dyDescent="0.25">
      <c r="A47" s="39">
        <v>1</v>
      </c>
      <c r="B47" s="39" t="s">
        <v>32</v>
      </c>
      <c r="C47" s="39" t="s">
        <v>160</v>
      </c>
      <c r="D47" s="39" t="s">
        <v>13</v>
      </c>
      <c r="E47" s="39" t="s">
        <v>171</v>
      </c>
      <c r="F47" s="39" t="s">
        <v>172</v>
      </c>
      <c r="G47" s="39">
        <v>2554</v>
      </c>
      <c r="H47" s="39">
        <v>4551221</v>
      </c>
      <c r="I47" s="39">
        <v>33</v>
      </c>
    </row>
    <row r="48" spans="1:9" x14ac:dyDescent="0.25">
      <c r="A48" s="39">
        <v>1</v>
      </c>
      <c r="B48" s="39" t="s">
        <v>34</v>
      </c>
      <c r="C48" s="39" t="s">
        <v>119</v>
      </c>
      <c r="D48" s="39" t="s">
        <v>13</v>
      </c>
      <c r="E48" s="39" t="s">
        <v>173</v>
      </c>
      <c r="F48" s="39" t="s">
        <v>174</v>
      </c>
      <c r="G48" s="39">
        <v>2554</v>
      </c>
      <c r="H48" s="39">
        <v>4551221</v>
      </c>
      <c r="I48" s="39">
        <v>33</v>
      </c>
    </row>
    <row r="49" spans="1:9" x14ac:dyDescent="0.25">
      <c r="A49" s="39">
        <v>1</v>
      </c>
      <c r="B49" s="39" t="s">
        <v>30</v>
      </c>
      <c r="C49" s="39" t="s">
        <v>55</v>
      </c>
      <c r="D49" s="39" t="s">
        <v>13</v>
      </c>
      <c r="E49" s="39" t="s">
        <v>175</v>
      </c>
      <c r="F49" s="39" t="s">
        <v>176</v>
      </c>
      <c r="G49" s="39">
        <v>1641</v>
      </c>
      <c r="H49" s="39">
        <v>7654320</v>
      </c>
      <c r="I49" s="39">
        <v>72</v>
      </c>
    </row>
    <row r="50" spans="1:9" x14ac:dyDescent="0.25">
      <c r="A50" s="39">
        <v>1</v>
      </c>
      <c r="B50" s="39" t="s">
        <v>45</v>
      </c>
      <c r="C50" s="39" t="s">
        <v>69</v>
      </c>
      <c r="D50" s="39" t="s">
        <v>13</v>
      </c>
      <c r="E50" s="39" t="s">
        <v>177</v>
      </c>
      <c r="F50" s="39" t="s">
        <v>178</v>
      </c>
      <c r="G50" s="39">
        <v>1641</v>
      </c>
      <c r="H50" s="39">
        <v>7654320</v>
      </c>
      <c r="I50" s="39">
        <v>72</v>
      </c>
    </row>
    <row r="51" spans="1:9" x14ac:dyDescent="0.25">
      <c r="A51" s="39">
        <v>1</v>
      </c>
      <c r="B51" s="39" t="s">
        <v>28</v>
      </c>
      <c r="C51" s="39" t="s">
        <v>165</v>
      </c>
      <c r="D51" s="39" t="s">
        <v>13</v>
      </c>
      <c r="E51" s="39" t="s">
        <v>179</v>
      </c>
      <c r="F51" s="39" t="s">
        <v>180</v>
      </c>
      <c r="G51" s="39">
        <v>2554</v>
      </c>
      <c r="H51" s="39">
        <v>4551221</v>
      </c>
      <c r="I51" s="39">
        <v>33</v>
      </c>
    </row>
    <row r="52" spans="1:9" x14ac:dyDescent="0.25">
      <c r="A52" s="39">
        <v>1</v>
      </c>
      <c r="B52" s="39" t="s">
        <v>22</v>
      </c>
      <c r="C52" s="39" t="s">
        <v>53</v>
      </c>
      <c r="D52" s="39" t="s">
        <v>13</v>
      </c>
      <c r="E52" s="39" t="s">
        <v>181</v>
      </c>
      <c r="F52" s="39" t="s">
        <v>182</v>
      </c>
      <c r="G52" s="39">
        <v>1641</v>
      </c>
      <c r="H52" s="39">
        <v>7654320</v>
      </c>
      <c r="I52" s="39">
        <v>72</v>
      </c>
    </row>
    <row r="53" spans="1:9" x14ac:dyDescent="0.25">
      <c r="A53" s="39">
        <v>1</v>
      </c>
      <c r="B53" s="39" t="s">
        <v>53</v>
      </c>
      <c r="C53" s="39" t="s">
        <v>55</v>
      </c>
      <c r="D53" s="39" t="s">
        <v>13</v>
      </c>
      <c r="E53" s="39" t="s">
        <v>183</v>
      </c>
      <c r="F53" s="39" t="s">
        <v>184</v>
      </c>
      <c r="G53" s="39">
        <v>1641</v>
      </c>
      <c r="H53" s="39">
        <v>7654320</v>
      </c>
      <c r="I53" s="39">
        <v>72</v>
      </c>
    </row>
    <row r="54" spans="1:9" x14ac:dyDescent="0.25">
      <c r="A54" s="39">
        <v>1</v>
      </c>
      <c r="B54" s="39" t="s">
        <v>89</v>
      </c>
      <c r="C54" s="39" t="s">
        <v>68</v>
      </c>
      <c r="D54" s="39" t="s">
        <v>13</v>
      </c>
      <c r="E54" s="39" t="s">
        <v>185</v>
      </c>
      <c r="F54" s="39" t="s">
        <v>186</v>
      </c>
      <c r="G54" s="39">
        <v>1641</v>
      </c>
      <c r="H54" s="39">
        <v>7654320</v>
      </c>
      <c r="I54" s="39">
        <v>72</v>
      </c>
    </row>
    <row r="55" spans="1:9" x14ac:dyDescent="0.25">
      <c r="A55" s="39">
        <v>1</v>
      </c>
      <c r="B55" s="39" t="s">
        <v>34</v>
      </c>
      <c r="C55" s="39" t="s">
        <v>61</v>
      </c>
      <c r="D55" s="39" t="s">
        <v>13</v>
      </c>
      <c r="E55" s="39" t="s">
        <v>187</v>
      </c>
      <c r="F55" s="39" t="s">
        <v>188</v>
      </c>
      <c r="G55" s="39">
        <v>2554</v>
      </c>
      <c r="H55" s="39">
        <v>4551221</v>
      </c>
      <c r="I55" s="39">
        <v>33</v>
      </c>
    </row>
    <row r="56" spans="1:9" x14ac:dyDescent="0.25">
      <c r="A56" s="39">
        <v>1</v>
      </c>
      <c r="B56" s="39" t="s">
        <v>44</v>
      </c>
      <c r="C56" s="39" t="s">
        <v>71</v>
      </c>
      <c r="D56" s="39" t="s">
        <v>13</v>
      </c>
      <c r="E56" s="39" t="s">
        <v>189</v>
      </c>
      <c r="F56" s="39" t="s">
        <v>190</v>
      </c>
      <c r="G56" s="39">
        <v>1641</v>
      </c>
      <c r="H56" s="39">
        <v>7654320</v>
      </c>
      <c r="I56" s="39">
        <v>72</v>
      </c>
    </row>
    <row r="57" spans="1:9" x14ac:dyDescent="0.25">
      <c r="A57" s="39">
        <v>1</v>
      </c>
      <c r="B57" s="39" t="s">
        <v>68</v>
      </c>
      <c r="C57" s="39" t="s">
        <v>165</v>
      </c>
      <c r="D57" s="39" t="s">
        <v>13</v>
      </c>
      <c r="E57" s="39" t="s">
        <v>191</v>
      </c>
      <c r="F57" s="39" t="s">
        <v>192</v>
      </c>
      <c r="G57" s="39">
        <v>2554</v>
      </c>
      <c r="H57" s="39">
        <v>4551221</v>
      </c>
      <c r="I57" s="39">
        <v>33</v>
      </c>
    </row>
    <row r="58" spans="1:9" x14ac:dyDescent="0.25">
      <c r="A58" s="39">
        <v>1</v>
      </c>
      <c r="B58" s="39" t="s">
        <v>33</v>
      </c>
      <c r="C58" s="39" t="s">
        <v>39</v>
      </c>
      <c r="D58" s="39" t="s">
        <v>13</v>
      </c>
      <c r="E58" s="39" t="s">
        <v>193</v>
      </c>
      <c r="F58" s="39" t="s">
        <v>194</v>
      </c>
      <c r="G58" s="39">
        <v>2554</v>
      </c>
      <c r="H58" s="39">
        <v>4551221</v>
      </c>
      <c r="I58" s="39">
        <v>33</v>
      </c>
    </row>
    <row r="59" spans="1:9" x14ac:dyDescent="0.25">
      <c r="A59" s="39">
        <v>1</v>
      </c>
      <c r="B59" s="39" t="s">
        <v>83</v>
      </c>
      <c r="C59" s="39" t="s">
        <v>33</v>
      </c>
      <c r="D59" s="39" t="s">
        <v>13</v>
      </c>
      <c r="E59" s="39" t="s">
        <v>195</v>
      </c>
      <c r="F59" s="39" t="s">
        <v>196</v>
      </c>
      <c r="G59" s="39">
        <v>2554</v>
      </c>
      <c r="H59" s="39">
        <v>4551221</v>
      </c>
      <c r="I59" s="39">
        <v>33</v>
      </c>
    </row>
    <row r="60" spans="1:9" x14ac:dyDescent="0.25">
      <c r="A60" s="39">
        <v>1</v>
      </c>
      <c r="B60" s="39" t="s">
        <v>32</v>
      </c>
      <c r="C60" s="39" t="s">
        <v>52</v>
      </c>
      <c r="D60" s="39" t="s">
        <v>13</v>
      </c>
      <c r="E60" s="39" t="s">
        <v>197</v>
      </c>
      <c r="F60" s="39" t="s">
        <v>198</v>
      </c>
      <c r="G60" s="39">
        <v>2554</v>
      </c>
      <c r="H60" s="39">
        <v>4551221</v>
      </c>
      <c r="I60" s="39">
        <v>33</v>
      </c>
    </row>
    <row r="61" spans="1:9" x14ac:dyDescent="0.25">
      <c r="A61" s="39">
        <v>1</v>
      </c>
      <c r="B61" s="39" t="s">
        <v>28</v>
      </c>
      <c r="C61" s="39" t="s">
        <v>58</v>
      </c>
      <c r="D61" s="39" t="s">
        <v>13</v>
      </c>
      <c r="E61" s="39" t="s">
        <v>199</v>
      </c>
      <c r="F61" s="39" t="s">
        <v>200</v>
      </c>
      <c r="G61" s="39">
        <v>1641</v>
      </c>
      <c r="H61" s="39">
        <v>7654320</v>
      </c>
      <c r="I61" s="39">
        <v>72</v>
      </c>
    </row>
    <row r="62" spans="1:9" x14ac:dyDescent="0.25">
      <c r="A62" s="39">
        <v>1</v>
      </c>
      <c r="B62" s="39" t="s">
        <v>53</v>
      </c>
      <c r="C62" s="39" t="s">
        <v>72</v>
      </c>
      <c r="D62" s="39" t="s">
        <v>13</v>
      </c>
      <c r="E62" s="39" t="s">
        <v>201</v>
      </c>
      <c r="F62" s="39" t="s">
        <v>202</v>
      </c>
      <c r="G62" s="39">
        <v>1641</v>
      </c>
      <c r="H62" s="39">
        <v>7654320</v>
      </c>
      <c r="I62" s="39">
        <v>72</v>
      </c>
    </row>
    <row r="63" spans="1:9" x14ac:dyDescent="0.25">
      <c r="A63" s="39">
        <v>1</v>
      </c>
      <c r="B63" s="39" t="s">
        <v>89</v>
      </c>
      <c r="C63" s="39" t="s">
        <v>51</v>
      </c>
      <c r="D63" s="39" t="s">
        <v>13</v>
      </c>
      <c r="E63" s="39" t="s">
        <v>203</v>
      </c>
      <c r="F63" s="39" t="s">
        <v>204</v>
      </c>
      <c r="G63" s="39">
        <v>2554</v>
      </c>
      <c r="H63" s="39">
        <v>4551221</v>
      </c>
      <c r="I63" s="39">
        <v>33</v>
      </c>
    </row>
    <row r="64" spans="1:9" x14ac:dyDescent="0.25">
      <c r="A64" s="39">
        <v>1</v>
      </c>
      <c r="B64" s="39" t="s">
        <v>45</v>
      </c>
      <c r="C64" s="39" t="s">
        <v>61</v>
      </c>
      <c r="D64" s="39" t="s">
        <v>13</v>
      </c>
      <c r="E64" s="39" t="s">
        <v>43</v>
      </c>
      <c r="F64" s="39" t="s">
        <v>205</v>
      </c>
      <c r="G64" s="39">
        <v>1641</v>
      </c>
      <c r="H64" s="39">
        <v>7654320</v>
      </c>
      <c r="I64" s="39">
        <v>72</v>
      </c>
    </row>
    <row r="65" spans="1:9" x14ac:dyDescent="0.25">
      <c r="A65" s="39">
        <v>1</v>
      </c>
      <c r="B65" s="39" t="s">
        <v>56</v>
      </c>
      <c r="C65" s="39" t="s">
        <v>38</v>
      </c>
      <c r="D65" s="39" t="s">
        <v>13</v>
      </c>
      <c r="E65" s="39" t="s">
        <v>206</v>
      </c>
      <c r="F65" s="39" t="s">
        <v>207</v>
      </c>
      <c r="G65" s="39">
        <v>2554</v>
      </c>
      <c r="H65" s="39">
        <v>4551221</v>
      </c>
      <c r="I65" s="39">
        <v>33</v>
      </c>
    </row>
    <row r="66" spans="1:9" x14ac:dyDescent="0.25">
      <c r="A66" s="39">
        <v>1</v>
      </c>
      <c r="B66" s="39" t="s">
        <v>44</v>
      </c>
      <c r="C66" s="39" t="s">
        <v>63</v>
      </c>
      <c r="D66" s="39" t="s">
        <v>13</v>
      </c>
      <c r="E66" s="39" t="s">
        <v>208</v>
      </c>
      <c r="F66" s="39" t="s">
        <v>209</v>
      </c>
      <c r="G66" s="39">
        <v>2554</v>
      </c>
      <c r="H66" s="39">
        <v>4551221</v>
      </c>
      <c r="I66" s="39">
        <v>33</v>
      </c>
    </row>
    <row r="67" spans="1:9" x14ac:dyDescent="0.25">
      <c r="A67" s="39">
        <v>1</v>
      </c>
      <c r="B67" s="39" t="s">
        <v>48</v>
      </c>
      <c r="C67" s="39" t="s">
        <v>57</v>
      </c>
      <c r="D67" s="39" t="s">
        <v>13</v>
      </c>
      <c r="E67" s="39" t="s">
        <v>210</v>
      </c>
      <c r="F67" s="39" t="s">
        <v>211</v>
      </c>
      <c r="G67" s="39">
        <v>2554</v>
      </c>
      <c r="H67" s="39">
        <v>4551221</v>
      </c>
      <c r="I67" s="39">
        <v>33</v>
      </c>
    </row>
    <row r="68" spans="1:9" x14ac:dyDescent="0.25">
      <c r="A68" s="39">
        <v>1</v>
      </c>
      <c r="B68" s="39" t="s">
        <v>37</v>
      </c>
      <c r="C68" s="39" t="s">
        <v>45</v>
      </c>
      <c r="D68" s="39" t="s">
        <v>13</v>
      </c>
      <c r="E68" s="39" t="s">
        <v>212</v>
      </c>
      <c r="F68" s="39" t="s">
        <v>213</v>
      </c>
      <c r="G68" s="39">
        <v>2554</v>
      </c>
      <c r="H68" s="39">
        <v>4551221</v>
      </c>
      <c r="I68" s="39">
        <v>33</v>
      </c>
    </row>
    <row r="69" spans="1:9" x14ac:dyDescent="0.25">
      <c r="A69" s="39">
        <v>1</v>
      </c>
      <c r="B69" s="39" t="s">
        <v>53</v>
      </c>
      <c r="C69" s="39" t="s">
        <v>214</v>
      </c>
      <c r="D69" s="39" t="s">
        <v>13</v>
      </c>
      <c r="E69" s="39" t="s">
        <v>215</v>
      </c>
      <c r="F69" s="39" t="s">
        <v>216</v>
      </c>
      <c r="G69" s="39">
        <v>2554</v>
      </c>
      <c r="H69" s="39">
        <v>4551221</v>
      </c>
      <c r="I69" s="39">
        <v>33</v>
      </c>
    </row>
    <row r="70" spans="1:9" x14ac:dyDescent="0.25">
      <c r="A70" s="39">
        <v>1</v>
      </c>
      <c r="B70" s="39" t="s">
        <v>50</v>
      </c>
      <c r="C70" s="39" t="s">
        <v>38</v>
      </c>
      <c r="D70" s="39" t="s">
        <v>13</v>
      </c>
      <c r="E70" s="39" t="s">
        <v>217</v>
      </c>
      <c r="F70" s="39" t="s">
        <v>218</v>
      </c>
      <c r="G70" s="39">
        <v>2554</v>
      </c>
      <c r="H70" s="39">
        <v>4551221</v>
      </c>
      <c r="I70" s="39">
        <v>33</v>
      </c>
    </row>
    <row r="71" spans="1:9" x14ac:dyDescent="0.25">
      <c r="A71" s="39">
        <v>1</v>
      </c>
      <c r="B71" s="39" t="s">
        <v>30</v>
      </c>
      <c r="C71" s="39" t="s">
        <v>41</v>
      </c>
      <c r="D71" s="39" t="s">
        <v>13</v>
      </c>
      <c r="E71" s="39" t="s">
        <v>219</v>
      </c>
      <c r="F71" s="39" t="s">
        <v>220</v>
      </c>
      <c r="G71" s="39">
        <v>1641</v>
      </c>
      <c r="H71" s="39">
        <v>7654320</v>
      </c>
      <c r="I71" s="39">
        <v>72</v>
      </c>
    </row>
    <row r="72" spans="1:9" x14ac:dyDescent="0.25">
      <c r="A72" s="39">
        <v>1</v>
      </c>
      <c r="B72" s="39" t="s">
        <v>83</v>
      </c>
      <c r="C72" s="39" t="s">
        <v>46</v>
      </c>
      <c r="D72" s="39" t="s">
        <v>13</v>
      </c>
      <c r="E72" s="39" t="s">
        <v>70</v>
      </c>
      <c r="F72" s="39" t="s">
        <v>221</v>
      </c>
      <c r="G72" s="39">
        <v>1641</v>
      </c>
      <c r="H72" s="39">
        <v>7654320</v>
      </c>
      <c r="I72" s="39">
        <v>72</v>
      </c>
    </row>
    <row r="73" spans="1:9" x14ac:dyDescent="0.25">
      <c r="A73" s="39">
        <v>1</v>
      </c>
      <c r="B73" s="39" t="s">
        <v>64</v>
      </c>
      <c r="C73" s="39" t="s">
        <v>61</v>
      </c>
      <c r="D73" s="39" t="s">
        <v>13</v>
      </c>
      <c r="E73" s="39" t="s">
        <v>222</v>
      </c>
      <c r="F73" s="39" t="s">
        <v>223</v>
      </c>
      <c r="G73" s="39">
        <v>1641</v>
      </c>
      <c r="H73" s="39">
        <v>7654320</v>
      </c>
      <c r="I73" s="39">
        <v>72</v>
      </c>
    </row>
    <row r="74" spans="1:9" x14ac:dyDescent="0.25">
      <c r="A74" s="39">
        <v>1</v>
      </c>
      <c r="B74" s="39" t="s">
        <v>83</v>
      </c>
      <c r="C74" s="39" t="s">
        <v>39</v>
      </c>
      <c r="D74" s="39" t="s">
        <v>13</v>
      </c>
      <c r="E74" s="39" t="s">
        <v>224</v>
      </c>
      <c r="F74" s="39" t="s">
        <v>225</v>
      </c>
      <c r="G74" s="39">
        <v>1641</v>
      </c>
      <c r="H74" s="39">
        <v>7654320</v>
      </c>
      <c r="I74" s="39">
        <v>72</v>
      </c>
    </row>
    <row r="75" spans="1:9" x14ac:dyDescent="0.25">
      <c r="A75" s="39">
        <v>1</v>
      </c>
      <c r="B75" s="39" t="s">
        <v>32</v>
      </c>
      <c r="C75" s="39" t="s">
        <v>47</v>
      </c>
      <c r="D75" s="39" t="s">
        <v>13</v>
      </c>
      <c r="E75" s="39" t="s">
        <v>226</v>
      </c>
      <c r="F75" s="39" t="s">
        <v>227</v>
      </c>
      <c r="G75" s="39">
        <v>1641</v>
      </c>
      <c r="H75" s="39">
        <v>7654320</v>
      </c>
      <c r="I75" s="39">
        <v>72</v>
      </c>
    </row>
    <row r="76" spans="1:9" x14ac:dyDescent="0.25">
      <c r="A76" s="39">
        <v>1</v>
      </c>
      <c r="B76" s="39" t="s">
        <v>51</v>
      </c>
      <c r="C76" s="39" t="s">
        <v>108</v>
      </c>
      <c r="D76" s="39" t="s">
        <v>13</v>
      </c>
      <c r="E76" s="39" t="s">
        <v>228</v>
      </c>
      <c r="F76" s="39" t="s">
        <v>229</v>
      </c>
      <c r="G76" s="39">
        <v>2554</v>
      </c>
      <c r="H76" s="39">
        <v>4551221</v>
      </c>
      <c r="I76" s="39">
        <v>33</v>
      </c>
    </row>
    <row r="77" spans="1:9" x14ac:dyDescent="0.25">
      <c r="A77" s="39">
        <v>1</v>
      </c>
      <c r="B77" s="39" t="s">
        <v>56</v>
      </c>
      <c r="C77" s="39" t="s">
        <v>24</v>
      </c>
      <c r="D77" s="39" t="s">
        <v>13</v>
      </c>
      <c r="E77" s="39" t="s">
        <v>230</v>
      </c>
      <c r="F77" s="39" t="s">
        <v>231</v>
      </c>
      <c r="G77" s="39">
        <v>2554</v>
      </c>
      <c r="H77" s="39">
        <v>4551221</v>
      </c>
      <c r="I77" s="39">
        <v>33</v>
      </c>
    </row>
    <row r="78" spans="1:9" x14ac:dyDescent="0.25">
      <c r="A78" s="39">
        <v>1</v>
      </c>
      <c r="B78" s="39" t="s">
        <v>56</v>
      </c>
      <c r="C78" s="39" t="s">
        <v>27</v>
      </c>
      <c r="D78" s="39" t="s">
        <v>13</v>
      </c>
      <c r="E78" s="39" t="s">
        <v>232</v>
      </c>
      <c r="F78" s="39" t="s">
        <v>233</v>
      </c>
      <c r="G78" s="39">
        <v>2554</v>
      </c>
      <c r="H78" s="39">
        <v>4551221</v>
      </c>
      <c r="I78" s="39">
        <v>33</v>
      </c>
    </row>
    <row r="79" spans="1:9" x14ac:dyDescent="0.25">
      <c r="A79" s="39">
        <v>1</v>
      </c>
      <c r="B79" s="39" t="s">
        <v>68</v>
      </c>
      <c r="C79" s="39" t="s">
        <v>45</v>
      </c>
      <c r="D79" s="39" t="s">
        <v>13</v>
      </c>
      <c r="E79" s="39" t="s">
        <v>234</v>
      </c>
      <c r="F79" s="39" t="s">
        <v>235</v>
      </c>
      <c r="G79" s="39">
        <v>1641</v>
      </c>
      <c r="H79" s="39">
        <v>7654320</v>
      </c>
      <c r="I79" s="39">
        <v>72</v>
      </c>
    </row>
    <row r="80" spans="1:9" x14ac:dyDescent="0.25">
      <c r="A80" s="39">
        <v>1</v>
      </c>
      <c r="B80" s="39" t="s">
        <v>236</v>
      </c>
      <c r="C80" s="39" t="s">
        <v>50</v>
      </c>
      <c r="D80" s="39" t="s">
        <v>13</v>
      </c>
      <c r="E80" s="39" t="s">
        <v>237</v>
      </c>
      <c r="F80" s="39" t="s">
        <v>238</v>
      </c>
      <c r="G80" s="39">
        <v>1641</v>
      </c>
      <c r="H80" s="39">
        <v>7654320</v>
      </c>
      <c r="I80" s="39">
        <v>72</v>
      </c>
    </row>
    <row r="81" spans="1:9" x14ac:dyDescent="0.25">
      <c r="A81" s="39">
        <v>1</v>
      </c>
      <c r="B81" s="39" t="s">
        <v>28</v>
      </c>
      <c r="C81" s="39" t="s">
        <v>29</v>
      </c>
      <c r="D81" s="39" t="s">
        <v>13</v>
      </c>
      <c r="E81" s="39" t="s">
        <v>239</v>
      </c>
      <c r="F81" s="39" t="s">
        <v>240</v>
      </c>
      <c r="G81" s="39">
        <v>1641</v>
      </c>
      <c r="H81" s="39">
        <v>7654320</v>
      </c>
      <c r="I81" s="39">
        <v>72</v>
      </c>
    </row>
    <row r="82" spans="1:9" x14ac:dyDescent="0.25">
      <c r="A82" s="39">
        <v>1</v>
      </c>
      <c r="B82" s="39" t="s">
        <v>37</v>
      </c>
      <c r="C82" s="39" t="s">
        <v>23</v>
      </c>
      <c r="D82" s="39" t="s">
        <v>13</v>
      </c>
      <c r="E82" s="39" t="s">
        <v>241</v>
      </c>
      <c r="F82" s="39" t="s">
        <v>242</v>
      </c>
      <c r="G82" s="39">
        <v>1641</v>
      </c>
      <c r="H82" s="39">
        <v>7654320</v>
      </c>
      <c r="I82" s="39">
        <v>72</v>
      </c>
    </row>
    <row r="83" spans="1:9" x14ac:dyDescent="0.25">
      <c r="A83" s="39">
        <v>1</v>
      </c>
      <c r="B83" s="39" t="s">
        <v>45</v>
      </c>
      <c r="C83" s="39" t="s">
        <v>47</v>
      </c>
      <c r="D83" s="39" t="s">
        <v>13</v>
      </c>
      <c r="E83" s="39" t="s">
        <v>243</v>
      </c>
      <c r="F83" s="39" t="s">
        <v>244</v>
      </c>
      <c r="G83" s="39">
        <v>2554</v>
      </c>
      <c r="H83" s="39">
        <v>4551221</v>
      </c>
      <c r="I83" s="39">
        <v>33</v>
      </c>
    </row>
    <row r="84" spans="1:9" x14ac:dyDescent="0.25">
      <c r="A84" s="39">
        <v>1</v>
      </c>
      <c r="B84" s="39" t="s">
        <v>22</v>
      </c>
      <c r="C84" s="39" t="s">
        <v>23</v>
      </c>
      <c r="D84" s="39" t="s">
        <v>13</v>
      </c>
      <c r="E84" s="39" t="s">
        <v>245</v>
      </c>
      <c r="F84" s="39" t="s">
        <v>246</v>
      </c>
      <c r="G84" s="39">
        <v>2554</v>
      </c>
      <c r="H84" s="39">
        <v>4551221</v>
      </c>
      <c r="I84" s="39">
        <v>33</v>
      </c>
    </row>
    <row r="85" spans="1:9" x14ac:dyDescent="0.25">
      <c r="A85" s="39">
        <v>1</v>
      </c>
      <c r="B85" s="39" t="s">
        <v>45</v>
      </c>
      <c r="C85" s="39" t="s">
        <v>67</v>
      </c>
      <c r="D85" s="39" t="s">
        <v>13</v>
      </c>
      <c r="E85" s="39" t="s">
        <v>247</v>
      </c>
      <c r="F85" s="39" t="s">
        <v>248</v>
      </c>
      <c r="G85" s="39">
        <v>1641</v>
      </c>
      <c r="H85" s="39">
        <v>7654320</v>
      </c>
      <c r="I85" s="39">
        <v>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J85"/>
  <sheetViews>
    <sheetView workbookViewId="0"/>
    <sheetView workbookViewId="1"/>
  </sheetViews>
  <sheetFormatPr defaultRowHeight="15" x14ac:dyDescent="0.25"/>
  <cols>
    <col min="1" max="1" width="12.28515625" bestFit="1" customWidth="1"/>
    <col min="2" max="2" width="13.5703125" bestFit="1" customWidth="1"/>
    <col min="3" max="3" width="12.42578125" bestFit="1" customWidth="1"/>
    <col min="4" max="4" width="12" bestFit="1" customWidth="1"/>
    <col min="5" max="5" width="9.140625" bestFit="1" customWidth="1"/>
    <col min="6" max="6" width="13.5703125" bestFit="1" customWidth="1"/>
    <col min="7" max="7" width="15.5703125" bestFit="1" customWidth="1"/>
    <col min="8" max="8" width="11.28515625" bestFit="1" customWidth="1"/>
    <col min="9" max="9" width="10.85546875" bestFit="1" customWidth="1"/>
    <col min="10" max="10" width="9.140625" bestFit="1" customWidth="1"/>
  </cols>
  <sheetData>
    <row r="1" spans="1:10" x14ac:dyDescent="0.25">
      <c r="A1" s="12" t="s">
        <v>338</v>
      </c>
      <c r="B1" s="12" t="s">
        <v>337</v>
      </c>
      <c r="C1" s="12" t="s">
        <v>5</v>
      </c>
      <c r="D1" s="12" t="s">
        <v>0</v>
      </c>
      <c r="E1" s="12" t="s">
        <v>1</v>
      </c>
      <c r="F1" s="12" t="s">
        <v>2</v>
      </c>
      <c r="G1" s="12" t="s">
        <v>8</v>
      </c>
      <c r="H1" s="12" t="s">
        <v>21</v>
      </c>
      <c r="I1" s="12" t="s">
        <v>7</v>
      </c>
      <c r="J1" s="12" t="s">
        <v>359</v>
      </c>
    </row>
    <row r="2" spans="1:10" x14ac:dyDescent="0.25">
      <c r="A2" s="17" t="s">
        <v>249</v>
      </c>
      <c r="B2" s="17" t="s">
        <v>340</v>
      </c>
      <c r="C2" s="17">
        <f>545671</f>
        <v>545671</v>
      </c>
      <c r="D2" s="18">
        <v>40264</v>
      </c>
      <c r="E2" s="18">
        <f>WORKDAY(EDATE(D2,1)-1,1)</f>
        <v>40295</v>
      </c>
      <c r="F2" s="18">
        <v>40269</v>
      </c>
      <c r="G2" s="17" t="s">
        <v>250</v>
      </c>
      <c r="H2" s="17">
        <v>223809</v>
      </c>
      <c r="I2" s="17" t="s">
        <v>251</v>
      </c>
      <c r="J2" s="19">
        <v>742.5</v>
      </c>
    </row>
    <row r="3" spans="1:10" x14ac:dyDescent="0.25">
      <c r="A3" s="17" t="s">
        <v>249</v>
      </c>
      <c r="B3" s="17" t="s">
        <v>340</v>
      </c>
      <c r="C3" s="17">
        <v>545672</v>
      </c>
      <c r="D3" s="18">
        <v>40240</v>
      </c>
      <c r="E3" s="18">
        <f t="shared" ref="E3:E66" si="0">WORKDAY(EDATE(D3,1)-1,1)</f>
        <v>40273</v>
      </c>
      <c r="F3" s="18">
        <v>40270</v>
      </c>
      <c r="G3" s="17" t="s">
        <v>252</v>
      </c>
      <c r="H3" s="17">
        <v>327600</v>
      </c>
      <c r="I3" s="17" t="s">
        <v>253</v>
      </c>
      <c r="J3" s="19">
        <v>1021.02</v>
      </c>
    </row>
    <row r="4" spans="1:10" x14ac:dyDescent="0.25">
      <c r="A4" s="17" t="s">
        <v>254</v>
      </c>
      <c r="B4" s="17" t="s">
        <v>340</v>
      </c>
      <c r="C4" s="17">
        <v>545674</v>
      </c>
      <c r="D4" s="18">
        <v>40228</v>
      </c>
      <c r="E4" s="18">
        <f t="shared" si="0"/>
        <v>40256</v>
      </c>
      <c r="F4" s="18">
        <v>40271</v>
      </c>
      <c r="G4" s="17" t="s">
        <v>252</v>
      </c>
      <c r="H4" s="17">
        <v>332589</v>
      </c>
      <c r="I4" s="17" t="s">
        <v>253</v>
      </c>
      <c r="J4" s="19">
        <v>409.53</v>
      </c>
    </row>
    <row r="5" spans="1:10" x14ac:dyDescent="0.25">
      <c r="A5" s="17" t="s">
        <v>255</v>
      </c>
      <c r="B5" s="17" t="s">
        <v>340</v>
      </c>
      <c r="C5" s="17">
        <v>545676</v>
      </c>
      <c r="D5" s="18">
        <v>40248</v>
      </c>
      <c r="E5" s="18">
        <f t="shared" si="0"/>
        <v>40280</v>
      </c>
      <c r="F5" s="18">
        <v>40271</v>
      </c>
      <c r="G5" s="17" t="s">
        <v>252</v>
      </c>
      <c r="H5" s="17">
        <v>337131</v>
      </c>
      <c r="I5" s="17" t="s">
        <v>253</v>
      </c>
      <c r="J5" s="19">
        <v>-234.96</v>
      </c>
    </row>
    <row r="6" spans="1:10" x14ac:dyDescent="0.25">
      <c r="A6" s="17" t="s">
        <v>256</v>
      </c>
      <c r="B6" s="17" t="s">
        <v>340</v>
      </c>
      <c r="C6" s="17">
        <v>545677</v>
      </c>
      <c r="D6" s="18">
        <v>40258</v>
      </c>
      <c r="E6" s="18">
        <f t="shared" si="0"/>
        <v>40289</v>
      </c>
      <c r="F6" s="18">
        <v>40272</v>
      </c>
      <c r="G6" s="17" t="s">
        <v>252</v>
      </c>
      <c r="H6" s="17">
        <v>319376</v>
      </c>
      <c r="I6" s="17" t="s">
        <v>253</v>
      </c>
      <c r="J6" s="19">
        <v>-450.12</v>
      </c>
    </row>
    <row r="7" spans="1:10" x14ac:dyDescent="0.25">
      <c r="A7" s="17" t="s">
        <v>257</v>
      </c>
      <c r="B7" s="17" t="s">
        <v>340</v>
      </c>
      <c r="C7" s="17">
        <v>545678</v>
      </c>
      <c r="D7" s="18">
        <v>40242</v>
      </c>
      <c r="E7" s="18">
        <f t="shared" si="0"/>
        <v>40273</v>
      </c>
      <c r="F7" s="18">
        <v>40272</v>
      </c>
      <c r="G7" s="17" t="s">
        <v>252</v>
      </c>
      <c r="H7" s="17">
        <v>334724</v>
      </c>
      <c r="I7" s="17" t="s">
        <v>253</v>
      </c>
      <c r="J7" s="19">
        <v>114.18</v>
      </c>
    </row>
    <row r="8" spans="1:10" x14ac:dyDescent="0.25">
      <c r="A8" s="17" t="s">
        <v>258</v>
      </c>
      <c r="B8" s="17" t="s">
        <v>340</v>
      </c>
      <c r="C8" s="17">
        <v>545679</v>
      </c>
      <c r="D8" s="18">
        <v>40243</v>
      </c>
      <c r="E8" s="18">
        <f t="shared" si="0"/>
        <v>40274</v>
      </c>
      <c r="F8" s="18">
        <v>40272</v>
      </c>
      <c r="G8" s="17" t="s">
        <v>252</v>
      </c>
      <c r="H8" s="17">
        <v>310607</v>
      </c>
      <c r="I8" s="17" t="s">
        <v>253</v>
      </c>
      <c r="J8" s="19">
        <v>930.93</v>
      </c>
    </row>
    <row r="9" spans="1:10" x14ac:dyDescent="0.25">
      <c r="A9" s="17" t="s">
        <v>259</v>
      </c>
      <c r="B9" s="17" t="s">
        <v>340</v>
      </c>
      <c r="C9" s="17">
        <v>545681</v>
      </c>
      <c r="D9" s="18">
        <v>40266</v>
      </c>
      <c r="E9" s="18">
        <f t="shared" si="0"/>
        <v>40297</v>
      </c>
      <c r="F9" s="18">
        <v>40272</v>
      </c>
      <c r="G9" s="17" t="s">
        <v>250</v>
      </c>
      <c r="H9" s="17">
        <v>226225</v>
      </c>
      <c r="I9" s="17" t="s">
        <v>251</v>
      </c>
      <c r="J9" s="19">
        <v>466.29</v>
      </c>
    </row>
    <row r="10" spans="1:10" x14ac:dyDescent="0.25">
      <c r="A10" s="17" t="s">
        <v>260</v>
      </c>
      <c r="B10" s="17" t="s">
        <v>340</v>
      </c>
      <c r="C10" s="17">
        <v>545682</v>
      </c>
      <c r="D10" s="18">
        <v>40253</v>
      </c>
      <c r="E10" s="18">
        <f t="shared" si="0"/>
        <v>40284</v>
      </c>
      <c r="F10" s="18">
        <v>40273</v>
      </c>
      <c r="G10" s="17" t="s">
        <v>250</v>
      </c>
      <c r="H10" s="17">
        <v>223858</v>
      </c>
      <c r="I10" s="17" t="s">
        <v>251</v>
      </c>
      <c r="J10" s="19">
        <v>222.42</v>
      </c>
    </row>
    <row r="11" spans="1:10" x14ac:dyDescent="0.25">
      <c r="A11" s="17" t="s">
        <v>261</v>
      </c>
      <c r="B11" s="17" t="s">
        <v>340</v>
      </c>
      <c r="C11" s="17">
        <v>545683</v>
      </c>
      <c r="D11" s="18">
        <v>40251</v>
      </c>
      <c r="E11" s="18">
        <f t="shared" si="0"/>
        <v>40282</v>
      </c>
      <c r="F11" s="18">
        <v>40273</v>
      </c>
      <c r="G11" s="17" t="s">
        <v>250</v>
      </c>
      <c r="H11" s="17">
        <v>211781</v>
      </c>
      <c r="I11" s="17" t="s">
        <v>251</v>
      </c>
      <c r="J11" s="19">
        <v>679.8</v>
      </c>
    </row>
    <row r="12" spans="1:10" x14ac:dyDescent="0.25">
      <c r="A12" s="17" t="s">
        <v>262</v>
      </c>
      <c r="B12" s="17" t="s">
        <v>340</v>
      </c>
      <c r="C12" s="17">
        <v>545685</v>
      </c>
      <c r="D12" s="18">
        <v>40255</v>
      </c>
      <c r="E12" s="18">
        <f t="shared" si="0"/>
        <v>40287</v>
      </c>
      <c r="F12" s="18">
        <v>40273</v>
      </c>
      <c r="G12" s="17" t="s">
        <v>250</v>
      </c>
      <c r="H12" s="17">
        <v>232805</v>
      </c>
      <c r="I12" s="17" t="s">
        <v>251</v>
      </c>
      <c r="J12" s="19">
        <v>171.93</v>
      </c>
    </row>
    <row r="13" spans="1:10" x14ac:dyDescent="0.25">
      <c r="A13" s="17" t="s">
        <v>263</v>
      </c>
      <c r="B13" s="17" t="s">
        <v>340</v>
      </c>
      <c r="C13" s="17">
        <v>545687</v>
      </c>
      <c r="D13" s="18">
        <v>40229</v>
      </c>
      <c r="E13" s="18">
        <f t="shared" si="0"/>
        <v>40259</v>
      </c>
      <c r="F13" s="18">
        <v>40273</v>
      </c>
      <c r="G13" s="17" t="s">
        <v>252</v>
      </c>
      <c r="H13" s="17">
        <v>312187</v>
      </c>
      <c r="I13" s="17" t="s">
        <v>253</v>
      </c>
      <c r="J13" s="19">
        <v>623.70000000000005</v>
      </c>
    </row>
    <row r="14" spans="1:10" x14ac:dyDescent="0.25">
      <c r="A14" s="17" t="s">
        <v>264</v>
      </c>
      <c r="B14" s="17" t="s">
        <v>340</v>
      </c>
      <c r="C14" s="17">
        <v>545689</v>
      </c>
      <c r="D14" s="18">
        <v>40244</v>
      </c>
      <c r="E14" s="18">
        <f t="shared" si="0"/>
        <v>40275</v>
      </c>
      <c r="F14" s="18">
        <v>40273</v>
      </c>
      <c r="G14" s="17" t="s">
        <v>252</v>
      </c>
      <c r="H14" s="17">
        <v>319790</v>
      </c>
      <c r="I14" s="17" t="s">
        <v>253</v>
      </c>
      <c r="J14" s="19">
        <v>221.1</v>
      </c>
    </row>
    <row r="15" spans="1:10" x14ac:dyDescent="0.25">
      <c r="A15" s="17" t="s">
        <v>265</v>
      </c>
      <c r="B15" s="17" t="s">
        <v>340</v>
      </c>
      <c r="C15" s="17">
        <v>545690</v>
      </c>
      <c r="D15" s="18">
        <v>40233</v>
      </c>
      <c r="E15" s="18">
        <f t="shared" si="0"/>
        <v>40261</v>
      </c>
      <c r="F15" s="18">
        <v>40274</v>
      </c>
      <c r="G15" s="17" t="s">
        <v>252</v>
      </c>
      <c r="H15" s="17">
        <v>327342</v>
      </c>
      <c r="I15" s="17" t="s">
        <v>253</v>
      </c>
      <c r="J15" s="19">
        <v>393.36</v>
      </c>
    </row>
    <row r="16" spans="1:10" x14ac:dyDescent="0.25">
      <c r="A16" s="17" t="s">
        <v>266</v>
      </c>
      <c r="B16" s="17" t="s">
        <v>340</v>
      </c>
      <c r="C16" s="17">
        <v>545691</v>
      </c>
      <c r="D16" s="18">
        <v>40239</v>
      </c>
      <c r="E16" s="18">
        <f t="shared" si="0"/>
        <v>40270</v>
      </c>
      <c r="F16" s="18">
        <v>40274</v>
      </c>
      <c r="G16" s="17" t="s">
        <v>252</v>
      </c>
      <c r="H16" s="17">
        <v>335460</v>
      </c>
      <c r="I16" s="17" t="s">
        <v>253</v>
      </c>
      <c r="J16" s="19">
        <v>642.17999999999995</v>
      </c>
    </row>
    <row r="17" spans="1:10" x14ac:dyDescent="0.25">
      <c r="A17" s="17" t="s">
        <v>267</v>
      </c>
      <c r="B17" s="17" t="s">
        <v>340</v>
      </c>
      <c r="C17" s="17">
        <v>545692</v>
      </c>
      <c r="D17" s="18">
        <v>40259</v>
      </c>
      <c r="E17" s="18">
        <f t="shared" si="0"/>
        <v>40290</v>
      </c>
      <c r="F17" s="18">
        <v>40274</v>
      </c>
      <c r="G17" s="17" t="s">
        <v>252</v>
      </c>
      <c r="H17" s="17">
        <v>323955</v>
      </c>
      <c r="I17" s="17" t="s">
        <v>253</v>
      </c>
      <c r="J17" s="19">
        <v>499.95</v>
      </c>
    </row>
    <row r="18" spans="1:10" x14ac:dyDescent="0.25">
      <c r="A18" s="17" t="s">
        <v>268</v>
      </c>
      <c r="B18" s="17" t="s">
        <v>340</v>
      </c>
      <c r="C18" s="17">
        <v>545693</v>
      </c>
      <c r="D18" s="18">
        <v>40238</v>
      </c>
      <c r="E18" s="18">
        <f t="shared" si="0"/>
        <v>40269</v>
      </c>
      <c r="F18" s="18">
        <v>40275</v>
      </c>
      <c r="G18" s="17" t="s">
        <v>252</v>
      </c>
      <c r="H18" s="17">
        <v>316515</v>
      </c>
      <c r="I18" s="17" t="s">
        <v>253</v>
      </c>
      <c r="J18" s="19">
        <v>299.64</v>
      </c>
    </row>
    <row r="19" spans="1:10" x14ac:dyDescent="0.25">
      <c r="A19" s="17" t="s">
        <v>269</v>
      </c>
      <c r="B19" s="17" t="s">
        <v>340</v>
      </c>
      <c r="C19" s="17">
        <v>545695</v>
      </c>
      <c r="D19" s="18">
        <v>40234</v>
      </c>
      <c r="E19" s="18">
        <f t="shared" si="0"/>
        <v>40262</v>
      </c>
      <c r="F19" s="18">
        <v>40275</v>
      </c>
      <c r="G19" s="17" t="s">
        <v>250</v>
      </c>
      <c r="H19" s="17">
        <v>231320</v>
      </c>
      <c r="I19" s="17" t="s">
        <v>251</v>
      </c>
      <c r="J19" s="19">
        <v>312.83999999999997</v>
      </c>
    </row>
    <row r="20" spans="1:10" x14ac:dyDescent="0.25">
      <c r="A20" s="17" t="s">
        <v>270</v>
      </c>
      <c r="B20" s="17" t="s">
        <v>340</v>
      </c>
      <c r="C20" s="17">
        <v>545696</v>
      </c>
      <c r="D20" s="18">
        <v>40236</v>
      </c>
      <c r="E20" s="18">
        <f t="shared" si="0"/>
        <v>40266</v>
      </c>
      <c r="F20" s="18">
        <v>40275</v>
      </c>
      <c r="G20" s="17" t="s">
        <v>250</v>
      </c>
      <c r="H20" s="17">
        <v>213670</v>
      </c>
      <c r="I20" s="17" t="s">
        <v>251</v>
      </c>
      <c r="J20" s="19">
        <v>993.63</v>
      </c>
    </row>
    <row r="21" spans="1:10" x14ac:dyDescent="0.25">
      <c r="A21" s="17" t="s">
        <v>271</v>
      </c>
      <c r="B21" s="17" t="s">
        <v>340</v>
      </c>
      <c r="C21" s="17">
        <v>545697</v>
      </c>
      <c r="D21" s="18">
        <v>40261</v>
      </c>
      <c r="E21" s="18">
        <f t="shared" si="0"/>
        <v>40294</v>
      </c>
      <c r="F21" s="18">
        <v>40275</v>
      </c>
      <c r="G21" s="17" t="s">
        <v>250</v>
      </c>
      <c r="H21" s="17">
        <v>226166</v>
      </c>
      <c r="I21" s="17" t="s">
        <v>251</v>
      </c>
      <c r="J21" s="19">
        <v>1053.69</v>
      </c>
    </row>
    <row r="22" spans="1:10" x14ac:dyDescent="0.25">
      <c r="A22" s="17" t="s">
        <v>272</v>
      </c>
      <c r="B22" s="17" t="s">
        <v>340</v>
      </c>
      <c r="C22" s="17">
        <v>545698</v>
      </c>
      <c r="D22" s="18">
        <v>40236</v>
      </c>
      <c r="E22" s="18">
        <f t="shared" si="0"/>
        <v>40266</v>
      </c>
      <c r="F22" s="18">
        <v>40276</v>
      </c>
      <c r="G22" s="17" t="s">
        <v>252</v>
      </c>
      <c r="H22" s="17">
        <v>316479</v>
      </c>
      <c r="I22" s="17" t="s">
        <v>253</v>
      </c>
      <c r="J22" s="19">
        <v>1047.75</v>
      </c>
    </row>
    <row r="23" spans="1:10" x14ac:dyDescent="0.25">
      <c r="A23" s="17" t="s">
        <v>273</v>
      </c>
      <c r="B23" s="17" t="s">
        <v>340</v>
      </c>
      <c r="C23" s="17">
        <v>545700</v>
      </c>
      <c r="D23" s="18">
        <v>40254</v>
      </c>
      <c r="E23" s="18">
        <f t="shared" si="0"/>
        <v>40287</v>
      </c>
      <c r="F23" s="18">
        <v>40276</v>
      </c>
      <c r="G23" s="17" t="s">
        <v>250</v>
      </c>
      <c r="H23" s="17">
        <v>230046</v>
      </c>
      <c r="I23" s="17" t="s">
        <v>251</v>
      </c>
      <c r="J23" s="19">
        <v>1096.92</v>
      </c>
    </row>
    <row r="24" spans="1:10" x14ac:dyDescent="0.25">
      <c r="A24" s="17" t="s">
        <v>274</v>
      </c>
      <c r="B24" s="17" t="s">
        <v>340</v>
      </c>
      <c r="C24" s="17">
        <v>545702</v>
      </c>
      <c r="D24" s="18">
        <v>40268</v>
      </c>
      <c r="E24" s="18">
        <f t="shared" si="0"/>
        <v>40298</v>
      </c>
      <c r="F24" s="18">
        <v>40276</v>
      </c>
      <c r="G24" s="17" t="s">
        <v>250</v>
      </c>
      <c r="H24" s="17">
        <v>224680</v>
      </c>
      <c r="I24" s="17" t="s">
        <v>251</v>
      </c>
      <c r="J24" s="19">
        <v>257.07</v>
      </c>
    </row>
    <row r="25" spans="1:10" x14ac:dyDescent="0.25">
      <c r="A25" s="17" t="s">
        <v>275</v>
      </c>
      <c r="B25" s="17" t="s">
        <v>340</v>
      </c>
      <c r="C25" s="17">
        <v>545703</v>
      </c>
      <c r="D25" s="18">
        <v>40263</v>
      </c>
      <c r="E25" s="18">
        <f t="shared" si="0"/>
        <v>40294</v>
      </c>
      <c r="F25" s="18">
        <v>40276</v>
      </c>
      <c r="G25" s="17" t="s">
        <v>250</v>
      </c>
      <c r="H25" s="17">
        <v>238023</v>
      </c>
      <c r="I25" s="17" t="s">
        <v>251</v>
      </c>
      <c r="J25" s="19">
        <v>215.49</v>
      </c>
    </row>
    <row r="26" spans="1:10" x14ac:dyDescent="0.25">
      <c r="A26" s="17" t="s">
        <v>276</v>
      </c>
      <c r="B26" s="17" t="s">
        <v>340</v>
      </c>
      <c r="C26" s="17">
        <v>545705</v>
      </c>
      <c r="D26" s="18">
        <v>40235</v>
      </c>
      <c r="E26" s="18">
        <f t="shared" si="0"/>
        <v>40263</v>
      </c>
      <c r="F26" s="18">
        <v>40276</v>
      </c>
      <c r="G26" s="17" t="s">
        <v>250</v>
      </c>
      <c r="H26" s="17">
        <v>224184</v>
      </c>
      <c r="I26" s="17" t="s">
        <v>251</v>
      </c>
      <c r="J26" s="19">
        <v>455.07</v>
      </c>
    </row>
    <row r="27" spans="1:10" x14ac:dyDescent="0.25">
      <c r="A27" s="17" t="s">
        <v>277</v>
      </c>
      <c r="B27" s="17" t="s">
        <v>340</v>
      </c>
      <c r="C27" s="17">
        <v>545706</v>
      </c>
      <c r="D27" s="18">
        <v>40270</v>
      </c>
      <c r="E27" s="18">
        <f t="shared" si="0"/>
        <v>40301</v>
      </c>
      <c r="F27" s="18">
        <v>40277</v>
      </c>
      <c r="G27" s="17" t="s">
        <v>250</v>
      </c>
      <c r="H27" s="17">
        <v>216205</v>
      </c>
      <c r="I27" s="17" t="s">
        <v>251</v>
      </c>
      <c r="J27" s="19">
        <v>711.81</v>
      </c>
    </row>
    <row r="28" spans="1:10" x14ac:dyDescent="0.25">
      <c r="A28" s="17" t="s">
        <v>278</v>
      </c>
      <c r="B28" s="17" t="s">
        <v>340</v>
      </c>
      <c r="C28" s="17">
        <v>545707</v>
      </c>
      <c r="D28" s="18">
        <v>40254</v>
      </c>
      <c r="E28" s="18">
        <f t="shared" si="0"/>
        <v>40287</v>
      </c>
      <c r="F28" s="18">
        <v>40278</v>
      </c>
      <c r="G28" s="17" t="s">
        <v>252</v>
      </c>
      <c r="H28" s="17">
        <v>331383</v>
      </c>
      <c r="I28" s="17" t="s">
        <v>253</v>
      </c>
      <c r="J28" s="19">
        <v>78.540000000000006</v>
      </c>
    </row>
    <row r="29" spans="1:10" x14ac:dyDescent="0.25">
      <c r="A29" s="17" t="s">
        <v>279</v>
      </c>
      <c r="B29" s="17" t="s">
        <v>340</v>
      </c>
      <c r="C29" s="17">
        <v>545708</v>
      </c>
      <c r="D29" s="18">
        <v>40234</v>
      </c>
      <c r="E29" s="18">
        <f t="shared" si="0"/>
        <v>40262</v>
      </c>
      <c r="F29" s="18">
        <v>40278</v>
      </c>
      <c r="G29" s="17" t="s">
        <v>252</v>
      </c>
      <c r="H29" s="17">
        <v>335282</v>
      </c>
      <c r="I29" s="17" t="s">
        <v>253</v>
      </c>
      <c r="J29" s="19">
        <v>302.61</v>
      </c>
    </row>
    <row r="30" spans="1:10" x14ac:dyDescent="0.25">
      <c r="A30" s="17" t="s">
        <v>280</v>
      </c>
      <c r="B30" s="17" t="s">
        <v>340</v>
      </c>
      <c r="C30" s="17">
        <v>545710</v>
      </c>
      <c r="D30" s="18">
        <v>40268</v>
      </c>
      <c r="E30" s="18">
        <f t="shared" si="0"/>
        <v>40298</v>
      </c>
      <c r="F30" s="18">
        <v>40278</v>
      </c>
      <c r="G30" s="17" t="s">
        <v>252</v>
      </c>
      <c r="H30" s="17">
        <v>330858</v>
      </c>
      <c r="I30" s="17" t="s">
        <v>253</v>
      </c>
      <c r="J30" s="19">
        <v>426.03</v>
      </c>
    </row>
    <row r="31" spans="1:10" x14ac:dyDescent="0.25">
      <c r="A31" s="17" t="s">
        <v>281</v>
      </c>
      <c r="B31" s="17" t="s">
        <v>340</v>
      </c>
      <c r="C31" s="17">
        <v>545711</v>
      </c>
      <c r="D31" s="18">
        <v>40247</v>
      </c>
      <c r="E31" s="18">
        <f t="shared" si="0"/>
        <v>40280</v>
      </c>
      <c r="F31" s="18">
        <v>40278</v>
      </c>
      <c r="G31" s="17" t="s">
        <v>250</v>
      </c>
      <c r="H31" s="17">
        <v>238202</v>
      </c>
      <c r="I31" s="17" t="s">
        <v>251</v>
      </c>
      <c r="J31" s="19">
        <v>489.72</v>
      </c>
    </row>
    <row r="32" spans="1:10" x14ac:dyDescent="0.25">
      <c r="A32" s="17" t="s">
        <v>282</v>
      </c>
      <c r="B32" s="17" t="s">
        <v>340</v>
      </c>
      <c r="C32" s="17">
        <v>545713</v>
      </c>
      <c r="D32" s="18">
        <v>40246</v>
      </c>
      <c r="E32" s="18">
        <f t="shared" si="0"/>
        <v>40277</v>
      </c>
      <c r="F32" s="18">
        <v>40279</v>
      </c>
      <c r="G32" s="17" t="s">
        <v>250</v>
      </c>
      <c r="H32" s="17">
        <v>217217</v>
      </c>
      <c r="I32" s="17" t="s">
        <v>251</v>
      </c>
      <c r="J32" s="19">
        <v>352.44</v>
      </c>
    </row>
    <row r="33" spans="1:10" x14ac:dyDescent="0.25">
      <c r="A33" s="17" t="s">
        <v>283</v>
      </c>
      <c r="B33" s="17" t="s">
        <v>340</v>
      </c>
      <c r="C33" s="17">
        <v>545715</v>
      </c>
      <c r="D33" s="18">
        <v>40246</v>
      </c>
      <c r="E33" s="18">
        <f t="shared" si="0"/>
        <v>40277</v>
      </c>
      <c r="F33" s="18">
        <v>40279</v>
      </c>
      <c r="G33" s="17" t="s">
        <v>250</v>
      </c>
      <c r="H33" s="17">
        <v>234637</v>
      </c>
      <c r="I33" s="17" t="s">
        <v>251</v>
      </c>
      <c r="J33" s="19">
        <v>238.59</v>
      </c>
    </row>
    <row r="34" spans="1:10" x14ac:dyDescent="0.25">
      <c r="A34" s="17" t="s">
        <v>284</v>
      </c>
      <c r="B34" s="17" t="s">
        <v>340</v>
      </c>
      <c r="C34" s="17">
        <v>545716</v>
      </c>
      <c r="D34" s="18">
        <v>40238</v>
      </c>
      <c r="E34" s="18">
        <f t="shared" si="0"/>
        <v>40269</v>
      </c>
      <c r="F34" s="18">
        <v>40279</v>
      </c>
      <c r="G34" s="17" t="s">
        <v>252</v>
      </c>
      <c r="H34" s="17">
        <v>332725</v>
      </c>
      <c r="I34" s="17" t="s">
        <v>253</v>
      </c>
      <c r="J34" s="19">
        <v>549.12</v>
      </c>
    </row>
    <row r="35" spans="1:10" x14ac:dyDescent="0.25">
      <c r="A35" s="17" t="s">
        <v>285</v>
      </c>
      <c r="B35" s="17" t="s">
        <v>340</v>
      </c>
      <c r="C35" s="17">
        <v>545718</v>
      </c>
      <c r="D35" s="18">
        <v>40258</v>
      </c>
      <c r="E35" s="18">
        <f t="shared" si="0"/>
        <v>40289</v>
      </c>
      <c r="F35" s="18">
        <v>40280</v>
      </c>
      <c r="G35" s="17" t="s">
        <v>250</v>
      </c>
      <c r="H35" s="17">
        <v>227351</v>
      </c>
      <c r="I35" s="17" t="s">
        <v>251</v>
      </c>
      <c r="J35" s="19">
        <v>322.41000000000003</v>
      </c>
    </row>
    <row r="36" spans="1:10" x14ac:dyDescent="0.25">
      <c r="A36" s="17" t="s">
        <v>286</v>
      </c>
      <c r="B36" s="17" t="s">
        <v>340</v>
      </c>
      <c r="C36" s="17">
        <v>545719</v>
      </c>
      <c r="D36" s="18">
        <v>40264</v>
      </c>
      <c r="E36" s="18">
        <f t="shared" si="0"/>
        <v>40295</v>
      </c>
      <c r="F36" s="18">
        <v>40280</v>
      </c>
      <c r="G36" s="17" t="s">
        <v>252</v>
      </c>
      <c r="H36" s="17">
        <v>336345</v>
      </c>
      <c r="I36" s="17" t="s">
        <v>253</v>
      </c>
      <c r="J36" s="19">
        <v>644.82000000000005</v>
      </c>
    </row>
    <row r="37" spans="1:10" x14ac:dyDescent="0.25">
      <c r="A37" s="17" t="s">
        <v>287</v>
      </c>
      <c r="B37" s="17" t="s">
        <v>340</v>
      </c>
      <c r="C37" s="17">
        <v>545721</v>
      </c>
      <c r="D37" s="18">
        <v>40261</v>
      </c>
      <c r="E37" s="18">
        <f t="shared" si="0"/>
        <v>40294</v>
      </c>
      <c r="F37" s="18">
        <v>40280</v>
      </c>
      <c r="G37" s="17" t="s">
        <v>252</v>
      </c>
      <c r="H37" s="17">
        <v>338595</v>
      </c>
      <c r="I37" s="17" t="s">
        <v>253</v>
      </c>
      <c r="J37" s="19">
        <v>113.19</v>
      </c>
    </row>
    <row r="38" spans="1:10" x14ac:dyDescent="0.25">
      <c r="A38" s="17" t="s">
        <v>288</v>
      </c>
      <c r="B38" s="17" t="s">
        <v>340</v>
      </c>
      <c r="C38" s="17">
        <v>545722</v>
      </c>
      <c r="D38" s="18">
        <v>40266</v>
      </c>
      <c r="E38" s="18">
        <f t="shared" si="0"/>
        <v>40297</v>
      </c>
      <c r="F38" s="18">
        <v>40280</v>
      </c>
      <c r="G38" s="17" t="s">
        <v>252</v>
      </c>
      <c r="H38" s="17">
        <v>325149</v>
      </c>
      <c r="I38" s="17" t="s">
        <v>253</v>
      </c>
      <c r="J38" s="19">
        <v>449.13</v>
      </c>
    </row>
    <row r="39" spans="1:10" x14ac:dyDescent="0.25">
      <c r="A39" s="17" t="s">
        <v>289</v>
      </c>
      <c r="B39" s="17" t="s">
        <v>340</v>
      </c>
      <c r="C39" s="17">
        <v>545723</v>
      </c>
      <c r="D39" s="18">
        <v>40262</v>
      </c>
      <c r="E39" s="18">
        <f t="shared" si="0"/>
        <v>40294</v>
      </c>
      <c r="F39" s="18">
        <v>40280</v>
      </c>
      <c r="G39" s="17" t="s">
        <v>250</v>
      </c>
      <c r="H39" s="17">
        <v>227994</v>
      </c>
      <c r="I39" s="17" t="s">
        <v>251</v>
      </c>
      <c r="J39" s="19">
        <v>819.06</v>
      </c>
    </row>
    <row r="40" spans="1:10" x14ac:dyDescent="0.25">
      <c r="A40" s="17" t="s">
        <v>290</v>
      </c>
      <c r="B40" s="17" t="s">
        <v>340</v>
      </c>
      <c r="C40" s="17">
        <v>545724</v>
      </c>
      <c r="D40" s="18">
        <v>40239</v>
      </c>
      <c r="E40" s="18">
        <f t="shared" si="0"/>
        <v>40270</v>
      </c>
      <c r="F40" s="18">
        <v>40281</v>
      </c>
      <c r="G40" s="17" t="s">
        <v>250</v>
      </c>
      <c r="H40" s="17">
        <v>222399</v>
      </c>
      <c r="I40" s="17" t="s">
        <v>251</v>
      </c>
      <c r="J40" s="19">
        <v>1019.04</v>
      </c>
    </row>
    <row r="41" spans="1:10" x14ac:dyDescent="0.25">
      <c r="A41" s="17" t="s">
        <v>291</v>
      </c>
      <c r="B41" s="17" t="s">
        <v>340</v>
      </c>
      <c r="C41" s="17">
        <v>545725</v>
      </c>
      <c r="D41" s="18">
        <v>40264</v>
      </c>
      <c r="E41" s="18">
        <f t="shared" si="0"/>
        <v>40295</v>
      </c>
      <c r="F41" s="18">
        <v>40282</v>
      </c>
      <c r="G41" s="17" t="s">
        <v>252</v>
      </c>
      <c r="H41" s="17">
        <v>316436</v>
      </c>
      <c r="I41" s="17" t="s">
        <v>253</v>
      </c>
      <c r="J41" s="19">
        <v>736.23</v>
      </c>
    </row>
    <row r="42" spans="1:10" x14ac:dyDescent="0.25">
      <c r="A42" s="17" t="s">
        <v>292</v>
      </c>
      <c r="B42" s="17" t="s">
        <v>340</v>
      </c>
      <c r="C42" s="17">
        <v>545726</v>
      </c>
      <c r="D42" s="18">
        <v>40266</v>
      </c>
      <c r="E42" s="18">
        <f t="shared" si="0"/>
        <v>40297</v>
      </c>
      <c r="F42" s="18">
        <v>40282</v>
      </c>
      <c r="G42" s="17" t="s">
        <v>252</v>
      </c>
      <c r="H42" s="17">
        <v>312603</v>
      </c>
      <c r="I42" s="17" t="s">
        <v>253</v>
      </c>
      <c r="J42" s="19">
        <v>-600.27</v>
      </c>
    </row>
    <row r="43" spans="1:10" x14ac:dyDescent="0.25">
      <c r="A43" s="17" t="s">
        <v>293</v>
      </c>
      <c r="B43" s="17" t="s">
        <v>340</v>
      </c>
      <c r="C43" s="17">
        <v>545727</v>
      </c>
      <c r="D43" s="18">
        <v>40255</v>
      </c>
      <c r="E43" s="18">
        <f t="shared" si="0"/>
        <v>40287</v>
      </c>
      <c r="F43" s="18">
        <v>40282</v>
      </c>
      <c r="G43" s="17" t="s">
        <v>252</v>
      </c>
      <c r="H43" s="17">
        <v>339907</v>
      </c>
      <c r="I43" s="17" t="s">
        <v>253</v>
      </c>
      <c r="J43" s="19">
        <v>480.81</v>
      </c>
    </row>
    <row r="44" spans="1:10" x14ac:dyDescent="0.25">
      <c r="A44" s="17" t="s">
        <v>294</v>
      </c>
      <c r="B44" s="17" t="s">
        <v>340</v>
      </c>
      <c r="C44" s="17">
        <v>545729</v>
      </c>
      <c r="D44" s="18">
        <v>40280</v>
      </c>
      <c r="E44" s="18">
        <f t="shared" si="0"/>
        <v>40310</v>
      </c>
      <c r="F44" s="18">
        <v>40282</v>
      </c>
      <c r="G44" s="17" t="s">
        <v>250</v>
      </c>
      <c r="H44" s="17">
        <v>218463</v>
      </c>
      <c r="I44" s="17" t="s">
        <v>251</v>
      </c>
      <c r="J44" s="19">
        <v>253.77</v>
      </c>
    </row>
    <row r="45" spans="1:10" x14ac:dyDescent="0.25">
      <c r="A45" s="17" t="s">
        <v>295</v>
      </c>
      <c r="B45" s="17" t="s">
        <v>340</v>
      </c>
      <c r="C45" s="17">
        <v>545731</v>
      </c>
      <c r="D45" s="18">
        <v>40259</v>
      </c>
      <c r="E45" s="18">
        <f t="shared" si="0"/>
        <v>40290</v>
      </c>
      <c r="F45" s="18">
        <v>40284</v>
      </c>
      <c r="G45" s="17" t="s">
        <v>252</v>
      </c>
      <c r="H45" s="17">
        <v>336345</v>
      </c>
      <c r="I45" s="17" t="s">
        <v>253</v>
      </c>
      <c r="J45" s="19">
        <v>442.86</v>
      </c>
    </row>
    <row r="46" spans="1:10" x14ac:dyDescent="0.25">
      <c r="A46" s="17" t="s">
        <v>296</v>
      </c>
      <c r="B46" s="17" t="s">
        <v>340</v>
      </c>
      <c r="C46" s="17">
        <v>545732</v>
      </c>
      <c r="D46" s="18">
        <v>40242</v>
      </c>
      <c r="E46" s="18">
        <f t="shared" si="0"/>
        <v>40273</v>
      </c>
      <c r="F46" s="18">
        <v>40284</v>
      </c>
      <c r="G46" s="17" t="s">
        <v>250</v>
      </c>
      <c r="H46" s="17">
        <v>227664</v>
      </c>
      <c r="I46" s="17" t="s">
        <v>251</v>
      </c>
      <c r="J46" s="19">
        <v>630.96</v>
      </c>
    </row>
    <row r="47" spans="1:10" x14ac:dyDescent="0.25">
      <c r="A47" s="17" t="s">
        <v>297</v>
      </c>
      <c r="B47" s="17" t="s">
        <v>340</v>
      </c>
      <c r="C47" s="17">
        <v>545734</v>
      </c>
      <c r="D47" s="18">
        <v>40251</v>
      </c>
      <c r="E47" s="18">
        <f t="shared" si="0"/>
        <v>40282</v>
      </c>
      <c r="F47" s="18">
        <v>40284</v>
      </c>
      <c r="G47" s="17" t="s">
        <v>252</v>
      </c>
      <c r="H47" s="17">
        <v>331460</v>
      </c>
      <c r="I47" s="17" t="s">
        <v>253</v>
      </c>
      <c r="J47" s="19">
        <v>821.37</v>
      </c>
    </row>
    <row r="48" spans="1:10" x14ac:dyDescent="0.25">
      <c r="A48" s="17" t="s">
        <v>298</v>
      </c>
      <c r="B48" s="17" t="s">
        <v>340</v>
      </c>
      <c r="C48" s="17">
        <v>545735</v>
      </c>
      <c r="D48" s="18">
        <v>40260</v>
      </c>
      <c r="E48" s="18">
        <f t="shared" si="0"/>
        <v>40291</v>
      </c>
      <c r="F48" s="18">
        <v>40285</v>
      </c>
      <c r="G48" s="17" t="s">
        <v>252</v>
      </c>
      <c r="H48" s="17">
        <v>327740</v>
      </c>
      <c r="I48" s="17" t="s">
        <v>253</v>
      </c>
      <c r="J48" s="19">
        <v>950.73</v>
      </c>
    </row>
    <row r="49" spans="1:10" x14ac:dyDescent="0.25">
      <c r="A49" s="17" t="s">
        <v>299</v>
      </c>
      <c r="B49" s="17" t="s">
        <v>340</v>
      </c>
      <c r="C49" s="17">
        <v>545737</v>
      </c>
      <c r="D49" s="18">
        <v>40260</v>
      </c>
      <c r="E49" s="18">
        <f t="shared" si="0"/>
        <v>40291</v>
      </c>
      <c r="F49" s="18">
        <v>40286</v>
      </c>
      <c r="G49" s="17" t="s">
        <v>250</v>
      </c>
      <c r="H49" s="17">
        <v>221183</v>
      </c>
      <c r="I49" s="17" t="s">
        <v>251</v>
      </c>
      <c r="J49" s="19">
        <v>956.34</v>
      </c>
    </row>
    <row r="50" spans="1:10" x14ac:dyDescent="0.25">
      <c r="A50" s="17" t="s">
        <v>300</v>
      </c>
      <c r="B50" s="17" t="s">
        <v>340</v>
      </c>
      <c r="C50" s="17">
        <v>545739</v>
      </c>
      <c r="D50" s="18">
        <v>40265</v>
      </c>
      <c r="E50" s="18">
        <f t="shared" si="0"/>
        <v>40296</v>
      </c>
      <c r="F50" s="18">
        <v>40286</v>
      </c>
      <c r="G50" s="17" t="s">
        <v>250</v>
      </c>
      <c r="H50" s="17">
        <v>214234</v>
      </c>
      <c r="I50" s="17" t="s">
        <v>251</v>
      </c>
      <c r="J50" s="19">
        <v>1094.28</v>
      </c>
    </row>
    <row r="51" spans="1:10" x14ac:dyDescent="0.25">
      <c r="A51" s="17" t="s">
        <v>301</v>
      </c>
      <c r="B51" s="17" t="s">
        <v>340</v>
      </c>
      <c r="C51" s="17">
        <v>545740</v>
      </c>
      <c r="D51" s="18">
        <v>40280</v>
      </c>
      <c r="E51" s="18">
        <f t="shared" si="0"/>
        <v>40310</v>
      </c>
      <c r="F51" s="18">
        <v>40287</v>
      </c>
      <c r="G51" s="17" t="s">
        <v>252</v>
      </c>
      <c r="H51" s="17">
        <v>321456</v>
      </c>
      <c r="I51" s="17" t="s">
        <v>253</v>
      </c>
      <c r="J51" s="19">
        <v>628.98</v>
      </c>
    </row>
    <row r="52" spans="1:10" x14ac:dyDescent="0.25">
      <c r="A52" s="17" t="s">
        <v>302</v>
      </c>
      <c r="B52" s="17" t="s">
        <v>340</v>
      </c>
      <c r="C52" s="17">
        <v>545742</v>
      </c>
      <c r="D52" s="18">
        <v>40245</v>
      </c>
      <c r="E52" s="18">
        <f t="shared" si="0"/>
        <v>40276</v>
      </c>
      <c r="F52" s="18">
        <v>40287</v>
      </c>
      <c r="G52" s="17" t="s">
        <v>250</v>
      </c>
      <c r="H52" s="17">
        <v>233209</v>
      </c>
      <c r="I52" s="17" t="s">
        <v>251</v>
      </c>
      <c r="J52" s="19">
        <v>1058.31</v>
      </c>
    </row>
    <row r="53" spans="1:10" x14ac:dyDescent="0.25">
      <c r="A53" s="17" t="s">
        <v>303</v>
      </c>
      <c r="B53" s="17" t="s">
        <v>340</v>
      </c>
      <c r="C53" s="17">
        <v>545743</v>
      </c>
      <c r="D53" s="18">
        <v>40269</v>
      </c>
      <c r="E53" s="18">
        <f t="shared" si="0"/>
        <v>40301</v>
      </c>
      <c r="F53" s="18">
        <v>40288</v>
      </c>
      <c r="G53" s="17" t="s">
        <v>250</v>
      </c>
      <c r="H53" s="17">
        <v>222998</v>
      </c>
      <c r="I53" s="17" t="s">
        <v>251</v>
      </c>
      <c r="J53" s="19">
        <v>705.54</v>
      </c>
    </row>
    <row r="54" spans="1:10" x14ac:dyDescent="0.25">
      <c r="A54" s="17" t="s">
        <v>304</v>
      </c>
      <c r="B54" s="17" t="s">
        <v>340</v>
      </c>
      <c r="C54" s="17">
        <v>545745</v>
      </c>
      <c r="D54" s="18">
        <v>40262</v>
      </c>
      <c r="E54" s="18">
        <f t="shared" si="0"/>
        <v>40294</v>
      </c>
      <c r="F54" s="18">
        <v>40288</v>
      </c>
      <c r="G54" s="17" t="s">
        <v>250</v>
      </c>
      <c r="H54" s="17">
        <v>228246</v>
      </c>
      <c r="I54" s="17" t="s">
        <v>251</v>
      </c>
      <c r="J54" s="19">
        <v>138.6</v>
      </c>
    </row>
    <row r="55" spans="1:10" x14ac:dyDescent="0.25">
      <c r="A55" s="17" t="s">
        <v>305</v>
      </c>
      <c r="B55" s="17" t="s">
        <v>340</v>
      </c>
      <c r="C55" s="17">
        <v>545747</v>
      </c>
      <c r="D55" s="18">
        <v>40283</v>
      </c>
      <c r="E55" s="18">
        <f t="shared" si="0"/>
        <v>40315</v>
      </c>
      <c r="F55" s="18">
        <v>40288</v>
      </c>
      <c r="G55" s="17" t="s">
        <v>252</v>
      </c>
      <c r="H55" s="17">
        <v>314876</v>
      </c>
      <c r="I55" s="17" t="s">
        <v>253</v>
      </c>
      <c r="J55" s="19">
        <v>417.12</v>
      </c>
    </row>
    <row r="56" spans="1:10" x14ac:dyDescent="0.25">
      <c r="A56" s="17" t="s">
        <v>306</v>
      </c>
      <c r="B56" s="17" t="s">
        <v>340</v>
      </c>
      <c r="C56" s="17">
        <v>545748</v>
      </c>
      <c r="D56" s="18">
        <v>40276</v>
      </c>
      <c r="E56" s="18">
        <f t="shared" si="0"/>
        <v>40308</v>
      </c>
      <c r="F56" s="18">
        <v>40288</v>
      </c>
      <c r="G56" s="17" t="s">
        <v>250</v>
      </c>
      <c r="H56" s="17">
        <v>223602</v>
      </c>
      <c r="I56" s="17" t="s">
        <v>251</v>
      </c>
      <c r="J56" s="19">
        <v>422.73</v>
      </c>
    </row>
    <row r="57" spans="1:10" x14ac:dyDescent="0.25">
      <c r="A57" s="17" t="s">
        <v>307</v>
      </c>
      <c r="B57" s="17" t="s">
        <v>340</v>
      </c>
      <c r="C57" s="17">
        <v>545750</v>
      </c>
      <c r="D57" s="18">
        <v>40245</v>
      </c>
      <c r="E57" s="18">
        <f t="shared" si="0"/>
        <v>40276</v>
      </c>
      <c r="F57" s="18">
        <v>40288</v>
      </c>
      <c r="G57" s="17" t="s">
        <v>252</v>
      </c>
      <c r="H57" s="17">
        <v>319833</v>
      </c>
      <c r="I57" s="17" t="s">
        <v>253</v>
      </c>
      <c r="J57" s="19">
        <v>1061.94</v>
      </c>
    </row>
    <row r="58" spans="1:10" x14ac:dyDescent="0.25">
      <c r="A58" s="17" t="s">
        <v>308</v>
      </c>
      <c r="B58" s="17" t="s">
        <v>340</v>
      </c>
      <c r="C58" s="17">
        <v>545751</v>
      </c>
      <c r="D58" s="18">
        <v>40246</v>
      </c>
      <c r="E58" s="18">
        <f t="shared" si="0"/>
        <v>40277</v>
      </c>
      <c r="F58" s="18">
        <v>40289</v>
      </c>
      <c r="G58" s="17" t="s">
        <v>252</v>
      </c>
      <c r="H58" s="17">
        <v>310345</v>
      </c>
      <c r="I58" s="17" t="s">
        <v>253</v>
      </c>
      <c r="J58" s="19">
        <v>602.58000000000004</v>
      </c>
    </row>
    <row r="59" spans="1:10" x14ac:dyDescent="0.25">
      <c r="A59" s="17" t="s">
        <v>309</v>
      </c>
      <c r="B59" s="17" t="s">
        <v>340</v>
      </c>
      <c r="C59" s="17">
        <v>545753</v>
      </c>
      <c r="D59" s="18">
        <v>40252</v>
      </c>
      <c r="E59" s="18">
        <f t="shared" si="0"/>
        <v>40283</v>
      </c>
      <c r="F59" s="18">
        <v>40289</v>
      </c>
      <c r="G59" s="17" t="s">
        <v>252</v>
      </c>
      <c r="H59" s="17">
        <v>317142</v>
      </c>
      <c r="I59" s="17" t="s">
        <v>253</v>
      </c>
      <c r="J59" s="19">
        <v>132.66</v>
      </c>
    </row>
    <row r="60" spans="1:10" x14ac:dyDescent="0.25">
      <c r="A60" s="17" t="s">
        <v>310</v>
      </c>
      <c r="B60" s="17" t="s">
        <v>340</v>
      </c>
      <c r="C60" s="17">
        <v>545754</v>
      </c>
      <c r="D60" s="18">
        <v>40252</v>
      </c>
      <c r="E60" s="18">
        <f t="shared" si="0"/>
        <v>40283</v>
      </c>
      <c r="F60" s="18">
        <v>40290</v>
      </c>
      <c r="G60" s="17" t="s">
        <v>252</v>
      </c>
      <c r="H60" s="17">
        <v>313747</v>
      </c>
      <c r="I60" s="17" t="s">
        <v>253</v>
      </c>
      <c r="J60" s="19">
        <v>56.43</v>
      </c>
    </row>
    <row r="61" spans="1:10" x14ac:dyDescent="0.25">
      <c r="A61" s="17" t="s">
        <v>311</v>
      </c>
      <c r="B61" s="17" t="s">
        <v>340</v>
      </c>
      <c r="C61" s="17">
        <v>545756</v>
      </c>
      <c r="D61" s="18">
        <v>40281</v>
      </c>
      <c r="E61" s="18">
        <f t="shared" si="0"/>
        <v>40311</v>
      </c>
      <c r="F61" s="18">
        <v>40290</v>
      </c>
      <c r="G61" s="17" t="s">
        <v>250</v>
      </c>
      <c r="H61" s="17">
        <v>234966</v>
      </c>
      <c r="I61" s="17" t="s">
        <v>251</v>
      </c>
      <c r="J61" s="19">
        <v>511.83</v>
      </c>
    </row>
    <row r="62" spans="1:10" x14ac:dyDescent="0.25">
      <c r="A62" s="17" t="s">
        <v>312</v>
      </c>
      <c r="B62" s="17" t="s">
        <v>340</v>
      </c>
      <c r="C62" s="17">
        <v>545758</v>
      </c>
      <c r="D62" s="18">
        <v>40248</v>
      </c>
      <c r="E62" s="18">
        <f t="shared" si="0"/>
        <v>40280</v>
      </c>
      <c r="F62" s="18">
        <v>40290</v>
      </c>
      <c r="G62" s="17" t="s">
        <v>250</v>
      </c>
      <c r="H62" s="17">
        <v>215639</v>
      </c>
      <c r="I62" s="17" t="s">
        <v>251</v>
      </c>
      <c r="J62" s="19">
        <v>361.02</v>
      </c>
    </row>
    <row r="63" spans="1:10" x14ac:dyDescent="0.25">
      <c r="A63" s="17" t="s">
        <v>313</v>
      </c>
      <c r="B63" s="17" t="s">
        <v>340</v>
      </c>
      <c r="C63" s="17">
        <v>545760</v>
      </c>
      <c r="D63" s="18">
        <v>40272</v>
      </c>
      <c r="E63" s="18">
        <f t="shared" si="0"/>
        <v>40302</v>
      </c>
      <c r="F63" s="18">
        <v>40291</v>
      </c>
      <c r="G63" s="17" t="s">
        <v>252</v>
      </c>
      <c r="H63" s="17">
        <v>328536</v>
      </c>
      <c r="I63" s="17" t="s">
        <v>253</v>
      </c>
      <c r="J63" s="19">
        <v>668.25</v>
      </c>
    </row>
    <row r="64" spans="1:10" x14ac:dyDescent="0.25">
      <c r="A64" s="17" t="s">
        <v>314</v>
      </c>
      <c r="B64" s="17" t="s">
        <v>340</v>
      </c>
      <c r="C64" s="17">
        <v>545762</v>
      </c>
      <c r="D64" s="18">
        <v>40270</v>
      </c>
      <c r="E64" s="18">
        <f t="shared" si="0"/>
        <v>40301</v>
      </c>
      <c r="F64" s="18">
        <v>40291</v>
      </c>
      <c r="G64" s="17" t="s">
        <v>250</v>
      </c>
      <c r="H64" s="17">
        <v>210023</v>
      </c>
      <c r="I64" s="17" t="s">
        <v>251</v>
      </c>
      <c r="J64" s="19">
        <v>126.72</v>
      </c>
    </row>
    <row r="65" spans="1:10" x14ac:dyDescent="0.25">
      <c r="A65" s="17" t="s">
        <v>315</v>
      </c>
      <c r="B65" s="17" t="s">
        <v>340</v>
      </c>
      <c r="C65" s="17">
        <v>545763</v>
      </c>
      <c r="D65" s="18">
        <v>40261</v>
      </c>
      <c r="E65" s="18">
        <f t="shared" si="0"/>
        <v>40294</v>
      </c>
      <c r="F65" s="18">
        <v>40291</v>
      </c>
      <c r="G65" s="17" t="s">
        <v>252</v>
      </c>
      <c r="H65" s="17">
        <v>338938</v>
      </c>
      <c r="I65" s="17" t="s">
        <v>253</v>
      </c>
      <c r="J65" s="19">
        <v>1000.23</v>
      </c>
    </row>
    <row r="66" spans="1:10" x14ac:dyDescent="0.25">
      <c r="A66" s="17" t="s">
        <v>316</v>
      </c>
      <c r="B66" s="17" t="s">
        <v>340</v>
      </c>
      <c r="C66" s="17">
        <v>545765</v>
      </c>
      <c r="D66" s="18">
        <v>40266</v>
      </c>
      <c r="E66" s="18">
        <f t="shared" si="0"/>
        <v>40297</v>
      </c>
      <c r="F66" s="18">
        <v>40292</v>
      </c>
      <c r="G66" s="17" t="s">
        <v>252</v>
      </c>
      <c r="H66" s="17">
        <v>320536</v>
      </c>
      <c r="I66" s="17" t="s">
        <v>253</v>
      </c>
      <c r="J66" s="19">
        <v>948.75</v>
      </c>
    </row>
    <row r="67" spans="1:10" x14ac:dyDescent="0.25">
      <c r="A67" s="17" t="s">
        <v>317</v>
      </c>
      <c r="B67" s="17" t="s">
        <v>340</v>
      </c>
      <c r="C67" s="17">
        <v>545767</v>
      </c>
      <c r="D67" s="18">
        <v>40273</v>
      </c>
      <c r="E67" s="18">
        <f t="shared" ref="E67:E85" si="1">WORKDAY(EDATE(D67,1)-1,1)</f>
        <v>40303</v>
      </c>
      <c r="F67" s="18">
        <v>40292</v>
      </c>
      <c r="G67" s="17" t="s">
        <v>252</v>
      </c>
      <c r="H67" s="17">
        <v>322800</v>
      </c>
      <c r="I67" s="17" t="s">
        <v>253</v>
      </c>
      <c r="J67" s="19">
        <v>446.49</v>
      </c>
    </row>
    <row r="68" spans="1:10" x14ac:dyDescent="0.25">
      <c r="A68" s="17" t="s">
        <v>318</v>
      </c>
      <c r="B68" s="17" t="s">
        <v>340</v>
      </c>
      <c r="C68" s="17">
        <v>545768</v>
      </c>
      <c r="D68" s="18">
        <v>40259</v>
      </c>
      <c r="E68" s="18">
        <f t="shared" si="1"/>
        <v>40290</v>
      </c>
      <c r="F68" s="18">
        <v>40295</v>
      </c>
      <c r="G68" s="17" t="s">
        <v>252</v>
      </c>
      <c r="H68" s="17">
        <v>321358</v>
      </c>
      <c r="I68" s="17" t="s">
        <v>253</v>
      </c>
      <c r="J68" s="19">
        <v>242.22</v>
      </c>
    </row>
    <row r="69" spans="1:10" x14ac:dyDescent="0.25">
      <c r="A69" s="17" t="s">
        <v>319</v>
      </c>
      <c r="B69" s="17" t="s">
        <v>340</v>
      </c>
      <c r="C69" s="17">
        <v>545769</v>
      </c>
      <c r="D69" s="18">
        <v>40255</v>
      </c>
      <c r="E69" s="18">
        <f t="shared" si="1"/>
        <v>40287</v>
      </c>
      <c r="F69" s="18">
        <v>40295</v>
      </c>
      <c r="G69" s="17" t="s">
        <v>252</v>
      </c>
      <c r="H69" s="17">
        <v>316190</v>
      </c>
      <c r="I69" s="17" t="s">
        <v>253</v>
      </c>
      <c r="J69" s="19">
        <v>600.6</v>
      </c>
    </row>
    <row r="70" spans="1:10" x14ac:dyDescent="0.25">
      <c r="A70" s="17" t="s">
        <v>320</v>
      </c>
      <c r="B70" s="17" t="s">
        <v>340</v>
      </c>
      <c r="C70" s="17">
        <v>545770</v>
      </c>
      <c r="D70" s="18">
        <v>40282</v>
      </c>
      <c r="E70" s="18">
        <f t="shared" si="1"/>
        <v>40312</v>
      </c>
      <c r="F70" s="18">
        <v>40295</v>
      </c>
      <c r="G70" s="17" t="s">
        <v>252</v>
      </c>
      <c r="H70" s="17">
        <v>327938</v>
      </c>
      <c r="I70" s="17" t="s">
        <v>253</v>
      </c>
      <c r="J70" s="19">
        <v>546.80999999999995</v>
      </c>
    </row>
    <row r="71" spans="1:10" x14ac:dyDescent="0.25">
      <c r="A71" s="17" t="s">
        <v>321</v>
      </c>
      <c r="B71" s="17" t="s">
        <v>340</v>
      </c>
      <c r="C71" s="17">
        <v>545772</v>
      </c>
      <c r="D71" s="18">
        <v>40279</v>
      </c>
      <c r="E71" s="18">
        <f t="shared" si="1"/>
        <v>40309</v>
      </c>
      <c r="F71" s="18">
        <v>40295</v>
      </c>
      <c r="G71" s="17" t="s">
        <v>250</v>
      </c>
      <c r="H71" s="17">
        <v>234487</v>
      </c>
      <c r="I71" s="17" t="s">
        <v>251</v>
      </c>
      <c r="J71" s="19">
        <v>840.51</v>
      </c>
    </row>
    <row r="72" spans="1:10" x14ac:dyDescent="0.25">
      <c r="A72" s="17" t="s">
        <v>322</v>
      </c>
      <c r="B72" s="17" t="s">
        <v>340</v>
      </c>
      <c r="C72" s="17">
        <v>545773</v>
      </c>
      <c r="D72" s="18">
        <v>40277</v>
      </c>
      <c r="E72" s="18">
        <f t="shared" si="1"/>
        <v>40308</v>
      </c>
      <c r="F72" s="18">
        <v>40296</v>
      </c>
      <c r="G72" s="17" t="s">
        <v>250</v>
      </c>
      <c r="H72" s="17">
        <v>231274</v>
      </c>
      <c r="I72" s="17" t="s">
        <v>251</v>
      </c>
      <c r="J72" s="19">
        <v>603.57000000000005</v>
      </c>
    </row>
    <row r="73" spans="1:10" x14ac:dyDescent="0.25">
      <c r="A73" s="17" t="s">
        <v>323</v>
      </c>
      <c r="B73" s="17" t="s">
        <v>340</v>
      </c>
      <c r="C73" s="17">
        <v>545774</v>
      </c>
      <c r="D73" s="18">
        <v>40292</v>
      </c>
      <c r="E73" s="18">
        <f t="shared" si="1"/>
        <v>40322</v>
      </c>
      <c r="F73" s="18">
        <v>40296</v>
      </c>
      <c r="G73" s="17" t="s">
        <v>250</v>
      </c>
      <c r="H73" s="17">
        <v>224955</v>
      </c>
      <c r="I73" s="17" t="s">
        <v>251</v>
      </c>
      <c r="J73" s="19">
        <v>816.75</v>
      </c>
    </row>
    <row r="74" spans="1:10" x14ac:dyDescent="0.25">
      <c r="A74" s="17" t="s">
        <v>324</v>
      </c>
      <c r="B74" s="17" t="s">
        <v>340</v>
      </c>
      <c r="C74" s="17">
        <v>545775</v>
      </c>
      <c r="D74" s="18">
        <v>40262</v>
      </c>
      <c r="E74" s="18">
        <f t="shared" si="1"/>
        <v>40294</v>
      </c>
      <c r="F74" s="18">
        <v>40296</v>
      </c>
      <c r="G74" s="17" t="s">
        <v>250</v>
      </c>
      <c r="H74" s="17">
        <v>217275</v>
      </c>
      <c r="I74" s="17" t="s">
        <v>251</v>
      </c>
      <c r="J74" s="19">
        <v>1065.57</v>
      </c>
    </row>
    <row r="75" spans="1:10" x14ac:dyDescent="0.25">
      <c r="A75" s="17" t="s">
        <v>325</v>
      </c>
      <c r="B75" s="17" t="s">
        <v>340</v>
      </c>
      <c r="C75" s="17">
        <v>545776</v>
      </c>
      <c r="D75" s="18">
        <v>40288</v>
      </c>
      <c r="E75" s="18">
        <f t="shared" si="1"/>
        <v>40318</v>
      </c>
      <c r="F75" s="18">
        <v>40296</v>
      </c>
      <c r="G75" s="17" t="s">
        <v>250</v>
      </c>
      <c r="H75" s="17">
        <v>226240</v>
      </c>
      <c r="I75" s="17" t="s">
        <v>251</v>
      </c>
      <c r="J75" s="19">
        <v>523.38</v>
      </c>
    </row>
    <row r="76" spans="1:10" x14ac:dyDescent="0.25">
      <c r="A76" s="17" t="s">
        <v>326</v>
      </c>
      <c r="B76" s="17" t="s">
        <v>340</v>
      </c>
      <c r="C76" s="17">
        <v>545778</v>
      </c>
      <c r="D76" s="18">
        <v>40253</v>
      </c>
      <c r="E76" s="18">
        <f t="shared" si="1"/>
        <v>40284</v>
      </c>
      <c r="F76" s="18">
        <v>40296</v>
      </c>
      <c r="G76" s="17" t="s">
        <v>252</v>
      </c>
      <c r="H76" s="17">
        <v>325643</v>
      </c>
      <c r="I76" s="17" t="s">
        <v>253</v>
      </c>
      <c r="J76" s="19">
        <v>650.42999999999995</v>
      </c>
    </row>
    <row r="77" spans="1:10" x14ac:dyDescent="0.25">
      <c r="A77" s="17" t="s">
        <v>327</v>
      </c>
      <c r="B77" s="17" t="s">
        <v>340</v>
      </c>
      <c r="C77" s="17">
        <v>545780</v>
      </c>
      <c r="D77" s="18">
        <v>40289</v>
      </c>
      <c r="E77" s="18">
        <f t="shared" si="1"/>
        <v>40319</v>
      </c>
      <c r="F77" s="18">
        <v>40297</v>
      </c>
      <c r="G77" s="17" t="s">
        <v>252</v>
      </c>
      <c r="H77" s="17">
        <v>312800</v>
      </c>
      <c r="I77" s="17" t="s">
        <v>253</v>
      </c>
      <c r="J77" s="19">
        <v>809.49</v>
      </c>
    </row>
    <row r="78" spans="1:10" x14ac:dyDescent="0.25">
      <c r="A78" s="17" t="s">
        <v>328</v>
      </c>
      <c r="B78" s="17" t="s">
        <v>340</v>
      </c>
      <c r="C78" s="17">
        <v>545781</v>
      </c>
      <c r="D78" s="18">
        <v>40277</v>
      </c>
      <c r="E78" s="18">
        <f t="shared" si="1"/>
        <v>40308</v>
      </c>
      <c r="F78" s="18">
        <v>40298</v>
      </c>
      <c r="G78" s="17" t="s">
        <v>252</v>
      </c>
      <c r="H78" s="17">
        <v>338807</v>
      </c>
      <c r="I78" s="17" t="s">
        <v>253</v>
      </c>
      <c r="J78" s="19">
        <v>424.38</v>
      </c>
    </row>
    <row r="79" spans="1:10" x14ac:dyDescent="0.25">
      <c r="A79" s="17" t="s">
        <v>329</v>
      </c>
      <c r="B79" s="17" t="s">
        <v>340</v>
      </c>
      <c r="C79" s="17">
        <v>545783</v>
      </c>
      <c r="D79" s="18">
        <v>40260</v>
      </c>
      <c r="E79" s="18">
        <f t="shared" si="1"/>
        <v>40291</v>
      </c>
      <c r="F79" s="18">
        <v>40298</v>
      </c>
      <c r="G79" s="17" t="s">
        <v>250</v>
      </c>
      <c r="H79" s="17">
        <v>239476</v>
      </c>
      <c r="I79" s="17" t="s">
        <v>251</v>
      </c>
      <c r="J79" s="19">
        <v>955.68</v>
      </c>
    </row>
    <row r="80" spans="1:10" x14ac:dyDescent="0.25">
      <c r="A80" s="17" t="s">
        <v>330</v>
      </c>
      <c r="B80" s="17" t="s">
        <v>340</v>
      </c>
      <c r="C80" s="17">
        <v>545784</v>
      </c>
      <c r="D80" s="18">
        <v>40256</v>
      </c>
      <c r="E80" s="18">
        <f t="shared" si="1"/>
        <v>40287</v>
      </c>
      <c r="F80" s="18">
        <v>40298</v>
      </c>
      <c r="G80" s="17" t="s">
        <v>250</v>
      </c>
      <c r="H80" s="17">
        <v>213693</v>
      </c>
      <c r="I80" s="17" t="s">
        <v>251</v>
      </c>
      <c r="J80" s="19">
        <v>764.28</v>
      </c>
    </row>
    <row r="81" spans="1:10" x14ac:dyDescent="0.25">
      <c r="A81" s="17" t="s">
        <v>331</v>
      </c>
      <c r="B81" s="17" t="s">
        <v>340</v>
      </c>
      <c r="C81" s="17">
        <v>545785</v>
      </c>
      <c r="D81" s="18">
        <v>40259</v>
      </c>
      <c r="E81" s="18">
        <f t="shared" si="1"/>
        <v>40290</v>
      </c>
      <c r="F81" s="18">
        <v>40298</v>
      </c>
      <c r="G81" s="17" t="s">
        <v>250</v>
      </c>
      <c r="H81" s="17">
        <v>235040</v>
      </c>
      <c r="I81" s="17" t="s">
        <v>251</v>
      </c>
      <c r="J81" s="19">
        <v>335.61</v>
      </c>
    </row>
    <row r="82" spans="1:10" x14ac:dyDescent="0.25">
      <c r="A82" s="17" t="s">
        <v>332</v>
      </c>
      <c r="B82" s="17" t="s">
        <v>340</v>
      </c>
      <c r="C82" s="17">
        <v>545786</v>
      </c>
      <c r="D82" s="18">
        <v>40276</v>
      </c>
      <c r="E82" s="18">
        <f t="shared" si="1"/>
        <v>40308</v>
      </c>
      <c r="F82" s="18">
        <v>40298</v>
      </c>
      <c r="G82" s="17" t="s">
        <v>250</v>
      </c>
      <c r="H82" s="17">
        <v>211771</v>
      </c>
      <c r="I82" s="17" t="s">
        <v>251</v>
      </c>
      <c r="J82" s="19">
        <v>763.29</v>
      </c>
    </row>
    <row r="83" spans="1:10" x14ac:dyDescent="0.25">
      <c r="A83" s="17" t="s">
        <v>333</v>
      </c>
      <c r="B83" s="17" t="s">
        <v>340</v>
      </c>
      <c r="C83" s="17">
        <v>545788</v>
      </c>
      <c r="D83" s="18">
        <v>40274</v>
      </c>
      <c r="E83" s="18">
        <f t="shared" si="1"/>
        <v>40304</v>
      </c>
      <c r="F83" s="18">
        <v>40298</v>
      </c>
      <c r="G83" s="17" t="s">
        <v>252</v>
      </c>
      <c r="H83" s="17">
        <v>326543</v>
      </c>
      <c r="I83" s="17" t="s">
        <v>253</v>
      </c>
      <c r="J83" s="19">
        <v>446.16</v>
      </c>
    </row>
    <row r="84" spans="1:10" x14ac:dyDescent="0.25">
      <c r="A84" s="17" t="s">
        <v>334</v>
      </c>
      <c r="B84" s="17" t="s">
        <v>340</v>
      </c>
      <c r="C84" s="17">
        <v>545789</v>
      </c>
      <c r="D84" s="18">
        <v>40270</v>
      </c>
      <c r="E84" s="18">
        <f t="shared" si="1"/>
        <v>40301</v>
      </c>
      <c r="F84" s="18">
        <v>40298</v>
      </c>
      <c r="G84" s="17" t="s">
        <v>252</v>
      </c>
      <c r="H84" s="17">
        <v>338553</v>
      </c>
      <c r="I84" s="17" t="s">
        <v>253</v>
      </c>
      <c r="J84" s="19">
        <v>1032.24</v>
      </c>
    </row>
    <row r="85" spans="1:10" x14ac:dyDescent="0.25">
      <c r="A85" s="17" t="s">
        <v>335</v>
      </c>
      <c r="B85" s="17" t="s">
        <v>340</v>
      </c>
      <c r="C85" s="17">
        <v>545790</v>
      </c>
      <c r="D85" s="18">
        <v>40259</v>
      </c>
      <c r="E85" s="18">
        <f t="shared" si="1"/>
        <v>40290</v>
      </c>
      <c r="F85" s="18">
        <v>40298</v>
      </c>
      <c r="G85" s="17" t="s">
        <v>250</v>
      </c>
      <c r="H85" s="17">
        <v>213342</v>
      </c>
      <c r="I85" s="17" t="s">
        <v>251</v>
      </c>
      <c r="J85" s="19">
        <v>533.28</v>
      </c>
    </row>
  </sheetData>
  <conditionalFormatting sqref="B2:J85">
    <cfRule type="expression" dxfId="1" priority="2">
      <formula>$I2=$J$2</formula>
    </cfRule>
  </conditionalFormatting>
  <conditionalFormatting sqref="A2:A85">
    <cfRule type="expression" dxfId="0" priority="1">
      <formula>$I2=$J$2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Documentation</vt:lpstr>
      <vt:lpstr>Supplier Invoice Statement</vt:lpstr>
      <vt:lpstr>MedsCo Invoice Report</vt:lpstr>
      <vt:lpstr>Reconciliation Analysis</vt:lpstr>
      <vt:lpstr>Holidays</vt:lpstr>
      <vt:lpstr>Sup. Invoice Statement Raw Data</vt:lpstr>
      <vt:lpstr>Invoice Report Raw Data</vt:lpstr>
      <vt:lpstr>Amount</vt:lpstr>
      <vt:lpstr>Bank_Details</vt:lpstr>
      <vt:lpstr>Due_Date</vt:lpstr>
      <vt:lpstr>Holidays</vt:lpstr>
      <vt:lpstr>Invoice_Date</vt:lpstr>
      <vt:lpstr>Invoice_Day</vt:lpstr>
      <vt:lpstr>Invoice_Month</vt:lpstr>
      <vt:lpstr>Late_Charge</vt:lpstr>
      <vt:lpstr>Location</vt:lpstr>
      <vt:lpstr>Over_Due</vt:lpstr>
      <vt:lpstr>Over_Due_By</vt:lpstr>
      <vt:lpstr>Payment_Date</vt:lpstr>
      <vt:lpstr>Payment_No.</vt:lpstr>
      <vt:lpstr>Payment_Ref</vt:lpstr>
      <vt:lpstr>Penalty_Rate</vt:lpstr>
      <vt:lpstr>PO_Number</vt:lpstr>
      <vt:lpstr>Region</vt:lpstr>
      <vt:lpstr>Supplier_Code</vt:lpstr>
      <vt:lpstr>System_Date</vt:lpstr>
      <vt:lpstr>WeekDay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priyanka nagar</cp:lastModifiedBy>
  <dcterms:created xsi:type="dcterms:W3CDTF">2019-12-02T06:01:41Z</dcterms:created>
  <dcterms:modified xsi:type="dcterms:W3CDTF">2023-12-29T19:11:50Z</dcterms:modified>
</cp:coreProperties>
</file>